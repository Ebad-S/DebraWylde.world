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erenity Webcrafts Projects\DebraWylde.world\xls\"/>
    </mc:Choice>
  </mc:AlternateContent>
  <xr:revisionPtr revIDLastSave="0" documentId="13_ncr:1_{64049EB8-EC89-4C68-86E4-FD8222D42516}" xr6:coauthVersionLast="47" xr6:coauthVersionMax="47" xr10:uidLastSave="{00000000-0000-0000-0000-000000000000}"/>
  <bookViews>
    <workbookView xWindow="28680" yWindow="-120" windowWidth="29040" windowHeight="16440" tabRatio="887" firstSheet="10" activeTab="19" xr2:uid="{D06CA388-7E06-402D-8DF5-1B3C24E49688}"/>
  </bookViews>
  <sheets>
    <sheet name="How this Spreadsheet Works" sheetId="2" r:id="rId1"/>
    <sheet name="Instructions" sheetId="3" r:id="rId2"/>
    <sheet name="Set Up Details" sheetId="4" r:id="rId3"/>
    <sheet name="Quarterly Results" sheetId="5" r:id="rId4"/>
    <sheet name="Personal Cash Flow Budget Y1" sheetId="6" r:id="rId5"/>
    <sheet name="Assets and Depreciation" sheetId="7" r:id="rId6"/>
    <sheet name="Business Loans" sheetId="8" r:id="rId7"/>
    <sheet name="Marketing Action Plan Year 1" sheetId="9" r:id="rId8"/>
    <sheet name="Marketing Action Plan Year 2" sheetId="29" r:id="rId9"/>
    <sheet name="Marketing Action Plan Year 3" sheetId="36" r:id="rId10"/>
    <sheet name="Sales Details" sheetId="11" r:id="rId11"/>
    <sheet name="Sales Forecast Year 1" sheetId="12" r:id="rId12"/>
    <sheet name="Sales Forecast Year 2" sheetId="30" r:id="rId13"/>
    <sheet name="Sales Forecast Year 3" sheetId="31" r:id="rId14"/>
    <sheet name="Cash Flow Year 1" sheetId="14" r:id="rId15"/>
    <sheet name="Cash Flow Year 2" sheetId="32" r:id="rId16"/>
    <sheet name="Cash Flow Year 3" sheetId="35" r:id="rId17"/>
    <sheet name="Profit &amp; Loss Statements" sheetId="16" r:id="rId18"/>
    <sheet name="Balance Sheets" sheetId="17" r:id="rId19"/>
    <sheet name="Key Assumptions Year 1 " sheetId="18" r:id="rId20"/>
    <sheet name="Key Assumptions Year 2" sheetId="33" r:id="rId21"/>
    <sheet name="Key Assumptions Year 3" sheetId="34" r:id="rId22"/>
    <sheet name=" Breakeven Analysis - Service" sheetId="19" r:id="rId23"/>
    <sheet name="Breakeven Analysis - Product" sheetId="20" r:id="rId24"/>
    <sheet name="Tables and Calculations" sheetId="21" r:id="rId25"/>
    <sheet name="Table2" sheetId="23" r:id="rId26"/>
    <sheet name="Debtors analysis" sheetId="22" r:id="rId27"/>
  </sheets>
  <definedNames>
    <definedName name="cpi" localSheetId="26">'Tables and Calculations'!$C$49</definedName>
    <definedName name="cpi" localSheetId="17">'Tables and Calculations'!$C$49</definedName>
    <definedName name="cpi" localSheetId="25">'Tables and Calculations'!$C$49</definedName>
    <definedName name="cpi">'Tables and Calculations'!$C$49</definedName>
    <definedName name="ExternalData_1" localSheetId="25" hidden="1">Table2!$A$1:$B$13</definedName>
    <definedName name="GST_payable_to_ATO" localSheetId="14">'Cash Flow Year 1'!$A$84:$N$84</definedName>
    <definedName name="GST_payable_to_ATO" localSheetId="15">'Cash Flow Year 2'!$A$84:$N$84</definedName>
    <definedName name="GST_payable_to_ATO" localSheetId="16">'Cash Flow Year 3'!$A$84:$N$84</definedName>
    <definedName name="GST_payable_to_ATO">'Cash Flow Year 1'!$A$84:$N$84</definedName>
    <definedName name="Holidays" localSheetId="22">#REF!</definedName>
    <definedName name="Holidays" localSheetId="5">#REF!</definedName>
    <definedName name="Holidays" localSheetId="18">#REF!</definedName>
    <definedName name="Holidays" localSheetId="23">#REF!</definedName>
    <definedName name="Holidays" localSheetId="6">#REF!</definedName>
    <definedName name="Holidays" localSheetId="14">#REF!</definedName>
    <definedName name="Holidays" localSheetId="15">#REF!</definedName>
    <definedName name="Holidays" localSheetId="16">#REF!</definedName>
    <definedName name="Holidays" localSheetId="26">#REF!</definedName>
    <definedName name="Holidays" localSheetId="19">#REF!</definedName>
    <definedName name="Holidays" localSheetId="20">#REF!</definedName>
    <definedName name="Holidays" localSheetId="21">#REF!</definedName>
    <definedName name="Holidays" localSheetId="7">#REF!</definedName>
    <definedName name="Holidays" localSheetId="8">#REF!</definedName>
    <definedName name="Holidays" localSheetId="9">#REF!</definedName>
    <definedName name="Holidays" localSheetId="4">#REF!</definedName>
    <definedName name="Holidays" localSheetId="17">#REF!</definedName>
    <definedName name="Holidays" localSheetId="10">#REF!</definedName>
    <definedName name="Holidays" localSheetId="11">#REF!</definedName>
    <definedName name="Holidays" localSheetId="12">#REF!</definedName>
    <definedName name="Holidays" localSheetId="13">#REF!</definedName>
    <definedName name="Holidays" localSheetId="25">#REF!</definedName>
    <definedName name="Holidays" localSheetId="24">#REF!</definedName>
    <definedName name="Holidays">'Quarterly Results'!#REF!</definedName>
    <definedName name="Link_CashFlowYr1_R22_SalesRelatedExpenses" localSheetId="14">'Cash Flow Year 1'!$A$22:$N$24</definedName>
    <definedName name="Link_CashFlowYr1_R22_SalesRelatedExpenses" localSheetId="15">'Cash Flow Year 2'!$A$22:$N$24</definedName>
    <definedName name="Link_CashFlowYr1_R22_SalesRelatedExpenses" localSheetId="16">'Cash Flow Year 3'!$A$22:$N$24</definedName>
    <definedName name="Link_CashFlowYr1_R22_SalesRelatedExpenses">'Cash Flow Year 1'!$A$22:$N$24</definedName>
    <definedName name="Link_CashFlowYr1_R27_OverheadExpenses" localSheetId="14">'Cash Flow Year 1'!$A$27:$N$73</definedName>
    <definedName name="Link_CashFlowYr1_R27_OverheadExpenses" localSheetId="15">'Cash Flow Year 2'!$A$27:$N$73</definedName>
    <definedName name="Link_CashFlowYr1_R27_OverheadExpenses" localSheetId="16">'Cash Flow Year 3'!$A$27:$N$73</definedName>
    <definedName name="Link_CashFlowYr1_R27_OverheadExpenses">'Cash Flow Year 1'!$A$27:$N$73</definedName>
    <definedName name="Link_CashFlowYr1_R60_LoanRepayments" localSheetId="14">'Cash Flow Year 1'!$A$76:$N$76</definedName>
    <definedName name="Link_CashFlowYr1_R60_LoanRepayments" localSheetId="15">'Cash Flow Year 2'!$A$76:$N$76</definedName>
    <definedName name="Link_CashFlowYr1_R60_LoanRepayments" localSheetId="16">'Cash Flow Year 3'!$A$76:$N$76</definedName>
    <definedName name="Link_CashFlowYr1_R60_LoanRepayments">'Cash Flow Year 1'!$A$76:$N$76</definedName>
    <definedName name="Link_CashFlowYr1_R61_AssetPurchases" localSheetId="14">'Cash Flow Year 1'!$A$79:$O$79</definedName>
    <definedName name="Link_CashFlowYr1_R61_AssetPurchases" localSheetId="15">'Cash Flow Year 2'!$A$79:$O$79</definedName>
    <definedName name="Link_CashFlowYr1_R61_AssetPurchases" localSheetId="16">'Cash Flow Year 3'!$A$79:$O$79</definedName>
    <definedName name="Link_CashFlowYr1_R61_AssetPurchases">'Cash Flow Year 1'!$A$79:$O$79</definedName>
    <definedName name="Link_CashFlowYr1_R64_Drawings" localSheetId="14">'Cash Flow Year 1'!$A$82:$N$82</definedName>
    <definedName name="Link_CashFlowYr1_R64_Drawings" localSheetId="15">'Cash Flow Year 2'!$A$82:$N$82</definedName>
    <definedName name="Link_CashFlowYr1_R64_Drawings" localSheetId="16">'Cash Flow Year 3'!$A$82:$N$82</definedName>
    <definedName name="Link_CashFlowYr1_R64_Drawings">'Cash Flow Year 1'!$A$82:$N$82</definedName>
    <definedName name="Link_CashFlowYr1_R66_GST" localSheetId="14">'Cash Flow Year 1'!$A$84:$N$84</definedName>
    <definedName name="Link_CashFlowYr1_R66_GST" localSheetId="15">'Cash Flow Year 2'!$A$84:$N$84</definedName>
    <definedName name="Link_CashFlowYr1_R66_GST" localSheetId="16">'Cash Flow Year 3'!$A$84:$N$84</definedName>
    <definedName name="Link_CashFlowYr1_R66_GST">'Cash Flow Year 1'!$A$84:$N$84</definedName>
    <definedName name="Link_CashFlowYr1_R67_PAYGwithholding" localSheetId="14">'Cash Flow Year 1'!$A$85:$O$85</definedName>
    <definedName name="Link_CashFlowYr1_R67_PAYGwithholding" localSheetId="15">'Cash Flow Year 2'!$A$85:$O$85</definedName>
    <definedName name="Link_CashFlowYr1_R67_PAYGwithholding" localSheetId="16">'Cash Flow Year 3'!$A$85:$O$85</definedName>
    <definedName name="Link_CashFlowYr1_R67_PAYGwithholding">'Cash Flow Year 1'!$A$85:$O$85</definedName>
    <definedName name="LoanMonthNumber" localSheetId="15">'Cash Flow Year 2'!$97:$97</definedName>
    <definedName name="LoanMonthNumber" localSheetId="16">'Cash Flow Year 3'!$97:$97</definedName>
    <definedName name="LoanMonthNumber">'Cash Flow Year 1'!$97:$97</definedName>
    <definedName name="LoanMonthNumberY2">#REF!</definedName>
    <definedName name="MinProfitNEIS">'Tables and Calculations'!$D$22</definedName>
    <definedName name="Month_range" localSheetId="22">#REF!</definedName>
    <definedName name="Month_range" localSheetId="5">#REF!</definedName>
    <definedName name="Month_range" localSheetId="18">#REF!</definedName>
    <definedName name="Month_range" localSheetId="23">#REF!</definedName>
    <definedName name="Month_range" localSheetId="6">#REF!</definedName>
    <definedName name="Month_range" localSheetId="14">#REF!</definedName>
    <definedName name="Month_range" localSheetId="15">#REF!</definedName>
    <definedName name="Month_range" localSheetId="16">#REF!</definedName>
    <definedName name="Month_range" localSheetId="26">#REF!</definedName>
    <definedName name="Month_range" localSheetId="1">#REF!</definedName>
    <definedName name="Month_range" localSheetId="19">#REF!</definedName>
    <definedName name="Month_range" localSheetId="20">#REF!</definedName>
    <definedName name="Month_range" localSheetId="21">#REF!</definedName>
    <definedName name="Month_range" localSheetId="7">#REF!</definedName>
    <definedName name="Month_range" localSheetId="8">#REF!</definedName>
    <definedName name="Month_range" localSheetId="9">#REF!</definedName>
    <definedName name="Month_range" localSheetId="4">#REF!</definedName>
    <definedName name="Month_range" localSheetId="17">#REF!</definedName>
    <definedName name="Month_range" localSheetId="10">#REF!</definedName>
    <definedName name="Month_range" localSheetId="11">#REF!</definedName>
    <definedName name="Month_range" localSheetId="12">#REF!</definedName>
    <definedName name="Month_range" localSheetId="13">#REF!</definedName>
    <definedName name="Month_range" localSheetId="25">#REF!</definedName>
    <definedName name="Month_range" localSheetId="24">#REF!</definedName>
    <definedName name="Month_range">'Quarterly Results'!#REF!</definedName>
    <definedName name="npbty2">'Tables and Calculations'!$D$21</definedName>
    <definedName name="_xlnm.Print_Area" localSheetId="22">' Breakeven Analysis - Service'!$A$1:$H$25</definedName>
    <definedName name="_xlnm.Print_Area" localSheetId="18">'Balance Sheets'!$A$1:$I$87</definedName>
    <definedName name="_xlnm.Print_Area" localSheetId="23">'Breakeven Analysis - Product'!$A$1:$K$27</definedName>
    <definedName name="_xlnm.Print_Area" localSheetId="6">'Business Loans'!$A$1:$K$39</definedName>
    <definedName name="_xlnm.Print_Area" localSheetId="14">'Cash Flow Year 1'!$A$1:$Q$88</definedName>
    <definedName name="_xlnm.Print_Area" localSheetId="15">'Cash Flow Year 2'!$A$1:$Q$88</definedName>
    <definedName name="_xlnm.Print_Area" localSheetId="16">'Cash Flow Year 3'!$A$1:$Q$88</definedName>
    <definedName name="_xlnm.Print_Area" localSheetId="26">'Debtors analysis'!$A$1:$O$48</definedName>
    <definedName name="_xlnm.Print_Area" localSheetId="1">Instructions!$A$10:$B$35</definedName>
    <definedName name="_xlnm.Print_Area" localSheetId="19">'Key Assumptions Year 1 '!$A$1:$B$18</definedName>
    <definedName name="_xlnm.Print_Area" localSheetId="20">'Key Assumptions Year 2'!$A$1:$B$18</definedName>
    <definedName name="_xlnm.Print_Area" localSheetId="21">'Key Assumptions Year 3'!$A$1:$B$18</definedName>
    <definedName name="_xlnm.Print_Area" localSheetId="4">'Personal Cash Flow Budget Y1'!$A$1:$Q$60</definedName>
    <definedName name="_xlnm.Print_Area" localSheetId="17">'Profit &amp; Loss Statements'!$A$1:$I$75</definedName>
    <definedName name="_xlnm.Print_Area" localSheetId="3">'Quarterly Results'!$A$1:$Q$21</definedName>
    <definedName name="_xlnm.Print_Area" localSheetId="10">'Sales Details'!$A$1:$O$21</definedName>
    <definedName name="_xlnm.Print_Area" localSheetId="11">'Sales Forecast Year 1'!$A$1:$Q$78</definedName>
    <definedName name="_xlnm.Print_Area" localSheetId="12">'Sales Forecast Year 2'!$A$1:$Q$78</definedName>
    <definedName name="_xlnm.Print_Area" localSheetId="13">'Sales Forecast Year 3'!$A$1:$Q$78</definedName>
    <definedName name="_xlnm.Print_Area" localSheetId="2">'Set Up Details'!$A$1:$I$13</definedName>
    <definedName name="_xlnm.Print_Area" localSheetId="24">'Tables and Calculations'!$A$1:$G$50</definedName>
    <definedName name="_xlnm.Print_Titles" localSheetId="26">'Debtors analysis'!$1:$1</definedName>
    <definedName name="_xlnm.Print_Titles" localSheetId="11">'Sales Forecast Year 1'!$1:$1</definedName>
    <definedName name="_xlnm.Print_Titles" localSheetId="12">'Sales Forecast Year 2'!$1:$1</definedName>
    <definedName name="_xlnm.Print_Titles" localSheetId="13">'Sales Forecast Year 3'!$1:$1</definedName>
    <definedName name="TaxFreeThreshold">'Tables and Calculations'!$D$21</definedName>
    <definedName name="Taxscales" localSheetId="22">#REF!</definedName>
    <definedName name="Taxscales" localSheetId="5">#REF!</definedName>
    <definedName name="Taxscales" localSheetId="18">#REF!</definedName>
    <definedName name="Taxscales" localSheetId="23">#REF!</definedName>
    <definedName name="Taxscales" localSheetId="6">#REF!</definedName>
    <definedName name="Taxscales" localSheetId="14">#REF!</definedName>
    <definedName name="Taxscales" localSheetId="15">#REF!</definedName>
    <definedName name="Taxscales" localSheetId="16">#REF!</definedName>
    <definedName name="Taxscales" localSheetId="26">#REF!</definedName>
    <definedName name="Taxscales" localSheetId="1">#REF!</definedName>
    <definedName name="Taxscales" localSheetId="19">#REF!</definedName>
    <definedName name="Taxscales" localSheetId="20">#REF!</definedName>
    <definedName name="Taxscales" localSheetId="21">#REF!</definedName>
    <definedName name="Taxscales" localSheetId="7">#REF!</definedName>
    <definedName name="Taxscales" localSheetId="8">#REF!</definedName>
    <definedName name="Taxscales" localSheetId="9">#REF!</definedName>
    <definedName name="Taxscales" localSheetId="4">#REF!</definedName>
    <definedName name="Taxscales" localSheetId="17">#REF!</definedName>
    <definedName name="Taxscales" localSheetId="10">#REF!</definedName>
    <definedName name="Taxscales" localSheetId="11">#REF!</definedName>
    <definedName name="Taxscales" localSheetId="12">#REF!</definedName>
    <definedName name="Taxscales" localSheetId="13">#REF!</definedName>
    <definedName name="Taxscales" localSheetId="25">#REF!</definedName>
    <definedName name="Taxscales" localSheetId="24">#REF!</definedName>
    <definedName name="Taxscales">'Quarterly Results'!#REF!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0" i="36" l="1"/>
  <c r="M40" i="36"/>
  <c r="L40" i="36"/>
  <c r="K40" i="36"/>
  <c r="J40" i="36"/>
  <c r="I40" i="36"/>
  <c r="H40" i="36"/>
  <c r="G40" i="36"/>
  <c r="F40" i="36"/>
  <c r="E40" i="36"/>
  <c r="D40" i="36"/>
  <c r="C40" i="36"/>
  <c r="O39" i="36"/>
  <c r="O38" i="36"/>
  <c r="O37" i="36"/>
  <c r="O36" i="36"/>
  <c r="O35" i="36"/>
  <c r="O34" i="36"/>
  <c r="O33" i="36"/>
  <c r="O32" i="36"/>
  <c r="O31" i="36"/>
  <c r="O30" i="36"/>
  <c r="O29" i="36"/>
  <c r="O28" i="36"/>
  <c r="O27" i="36"/>
  <c r="O26" i="36"/>
  <c r="O25" i="36"/>
  <c r="O24" i="36"/>
  <c r="O23" i="36"/>
  <c r="O22" i="36"/>
  <c r="O21" i="36"/>
  <c r="O20" i="36"/>
  <c r="O19" i="36"/>
  <c r="O18" i="36"/>
  <c r="O17" i="36"/>
  <c r="O16" i="36"/>
  <c r="O15" i="36"/>
  <c r="O14" i="36"/>
  <c r="O13" i="36"/>
  <c r="O12" i="36"/>
  <c r="O11" i="36"/>
  <c r="O10" i="36"/>
  <c r="O9" i="36"/>
  <c r="O40" i="36" s="1"/>
  <c r="O7" i="36"/>
  <c r="O6" i="36"/>
  <c r="N4" i="36"/>
  <c r="M4" i="36"/>
  <c r="L4" i="36"/>
  <c r="K4" i="36"/>
  <c r="J4" i="36"/>
  <c r="I4" i="36"/>
  <c r="H4" i="36"/>
  <c r="G4" i="36"/>
  <c r="F4" i="36"/>
  <c r="E4" i="36"/>
  <c r="D4" i="36"/>
  <c r="C4" i="36"/>
  <c r="B1" i="36"/>
  <c r="J6" i="11"/>
  <c r="C84" i="35"/>
  <c r="O82" i="35"/>
  <c r="N78" i="35"/>
  <c r="M78" i="35"/>
  <c r="L78" i="35"/>
  <c r="K78" i="35"/>
  <c r="J78" i="35"/>
  <c r="I78" i="35"/>
  <c r="H78" i="35"/>
  <c r="G78" i="35"/>
  <c r="F78" i="35"/>
  <c r="E78" i="35"/>
  <c r="D78" i="35"/>
  <c r="O73" i="35"/>
  <c r="O72" i="35"/>
  <c r="N71" i="35"/>
  <c r="M71" i="35"/>
  <c r="L71" i="35"/>
  <c r="K71" i="35"/>
  <c r="J71" i="35"/>
  <c r="I71" i="35"/>
  <c r="H71" i="35"/>
  <c r="G71" i="35"/>
  <c r="F71" i="35"/>
  <c r="E71" i="35"/>
  <c r="D71" i="35"/>
  <c r="C71" i="35"/>
  <c r="O70" i="35"/>
  <c r="O69" i="35"/>
  <c r="O68" i="35"/>
  <c r="W67" i="35"/>
  <c r="V67" i="35"/>
  <c r="U67" i="35"/>
  <c r="T67" i="35"/>
  <c r="S67" i="35"/>
  <c r="I67" i="35" s="1"/>
  <c r="P67" i="35"/>
  <c r="Q67" i="35" s="1"/>
  <c r="N67" i="35"/>
  <c r="M67" i="35"/>
  <c r="G67" i="35"/>
  <c r="F67" i="35"/>
  <c r="E67" i="35"/>
  <c r="D67" i="35"/>
  <c r="A67" i="35"/>
  <c r="W66" i="35"/>
  <c r="V66" i="35"/>
  <c r="U66" i="35"/>
  <c r="T66" i="35"/>
  <c r="S66" i="35"/>
  <c r="I66" i="35" s="1"/>
  <c r="P66" i="35"/>
  <c r="Q66" i="35" s="1"/>
  <c r="A66" i="35"/>
  <c r="S65" i="35"/>
  <c r="A65" i="35"/>
  <c r="S64" i="35"/>
  <c r="S63" i="35"/>
  <c r="S62" i="35"/>
  <c r="S61" i="35"/>
  <c r="S60" i="35"/>
  <c r="S59" i="35"/>
  <c r="S58" i="35"/>
  <c r="S57" i="35"/>
  <c r="S56" i="35"/>
  <c r="S55" i="35"/>
  <c r="S54" i="35"/>
  <c r="O52" i="35"/>
  <c r="O51" i="35"/>
  <c r="O50" i="35"/>
  <c r="O49" i="35"/>
  <c r="O48" i="35"/>
  <c r="O46" i="35"/>
  <c r="O45" i="35"/>
  <c r="O44" i="35"/>
  <c r="O43" i="35"/>
  <c r="O42" i="35"/>
  <c r="O41" i="35"/>
  <c r="O40" i="35"/>
  <c r="O39" i="35"/>
  <c r="O38" i="35"/>
  <c r="O37" i="35"/>
  <c r="O36" i="35"/>
  <c r="O35" i="35"/>
  <c r="O34" i="35"/>
  <c r="O33" i="35"/>
  <c r="O32" i="35"/>
  <c r="O31" i="35"/>
  <c r="O30" i="35"/>
  <c r="O29" i="35"/>
  <c r="O28" i="35"/>
  <c r="O24" i="35"/>
  <c r="O23" i="35"/>
  <c r="N22" i="35"/>
  <c r="M22" i="35"/>
  <c r="L22" i="35"/>
  <c r="K22" i="35"/>
  <c r="J22" i="35"/>
  <c r="I22" i="35"/>
  <c r="H22" i="35"/>
  <c r="G22" i="35"/>
  <c r="F22" i="35"/>
  <c r="E22" i="35"/>
  <c r="D22" i="35"/>
  <c r="C22" i="35"/>
  <c r="O17" i="35"/>
  <c r="O14" i="35"/>
  <c r="C4" i="35"/>
  <c r="O4" i="35" s="1"/>
  <c r="B1" i="35"/>
  <c r="H67" i="35" l="1"/>
  <c r="O67" i="35" s="1"/>
  <c r="J67" i="35"/>
  <c r="C66" i="35"/>
  <c r="K67" i="35"/>
  <c r="K66" i="35"/>
  <c r="C67" i="35"/>
  <c r="L67" i="35"/>
  <c r="O22" i="35"/>
  <c r="O25" i="35" s="1"/>
  <c r="O71" i="35"/>
  <c r="J66" i="35"/>
  <c r="C86" i="35"/>
  <c r="D66" i="35"/>
  <c r="L66" i="35"/>
  <c r="E66" i="35"/>
  <c r="M66" i="35"/>
  <c r="F66" i="35"/>
  <c r="N66" i="35"/>
  <c r="G66" i="35"/>
  <c r="H66" i="35"/>
  <c r="O66" i="35" l="1"/>
  <c r="O2" i="4" l="1"/>
  <c r="B1" i="34"/>
  <c r="B1" i="33"/>
  <c r="A81" i="17"/>
  <c r="A79" i="17"/>
  <c r="A77" i="17"/>
  <c r="A75" i="17"/>
  <c r="A73" i="17"/>
  <c r="A71" i="17"/>
  <c r="A69" i="17"/>
  <c r="A67" i="17"/>
  <c r="H6" i="17"/>
  <c r="C6" i="17"/>
  <c r="C84" i="32" l="1"/>
  <c r="O82" i="32"/>
  <c r="H74" i="17" s="1"/>
  <c r="N78" i="32"/>
  <c r="M78" i="32"/>
  <c r="L78" i="32"/>
  <c r="K78" i="32"/>
  <c r="J78" i="32"/>
  <c r="I78" i="32"/>
  <c r="H78" i="32"/>
  <c r="G78" i="32"/>
  <c r="F78" i="32"/>
  <c r="E78" i="32"/>
  <c r="D78" i="32"/>
  <c r="O73" i="32"/>
  <c r="E64" i="16" s="1"/>
  <c r="O72" i="32"/>
  <c r="E63" i="16" s="1"/>
  <c r="N71" i="32"/>
  <c r="M71" i="32"/>
  <c r="L71" i="32"/>
  <c r="K71" i="32"/>
  <c r="J71" i="32"/>
  <c r="I71" i="32"/>
  <c r="H71" i="32"/>
  <c r="G71" i="32"/>
  <c r="F71" i="32"/>
  <c r="E71" i="32"/>
  <c r="D71" i="32"/>
  <c r="C71" i="32"/>
  <c r="O70" i="32"/>
  <c r="O69" i="32"/>
  <c r="E60" i="16" s="1"/>
  <c r="O68" i="32"/>
  <c r="E59" i="16" s="1"/>
  <c r="W67" i="32"/>
  <c r="V67" i="32"/>
  <c r="U67" i="32"/>
  <c r="T67" i="32"/>
  <c r="S67" i="32"/>
  <c r="P67" i="32"/>
  <c r="Q67" i="32" s="1"/>
  <c r="A67" i="32"/>
  <c r="W66" i="32"/>
  <c r="V66" i="32"/>
  <c r="U66" i="32"/>
  <c r="T66" i="32"/>
  <c r="S66" i="32"/>
  <c r="P66" i="32"/>
  <c r="Q66" i="32" s="1"/>
  <c r="A66" i="32"/>
  <c r="S65" i="32"/>
  <c r="A65" i="32"/>
  <c r="S64" i="32"/>
  <c r="S63" i="32"/>
  <c r="S62" i="32"/>
  <c r="S61" i="32"/>
  <c r="S60" i="32"/>
  <c r="S59" i="32"/>
  <c r="S58" i="32"/>
  <c r="S57" i="32"/>
  <c r="S56" i="32"/>
  <c r="S55" i="32"/>
  <c r="S54" i="32"/>
  <c r="O52" i="32"/>
  <c r="O51" i="32"/>
  <c r="O50" i="32"/>
  <c r="O49" i="32"/>
  <c r="O48" i="32"/>
  <c r="O46" i="32"/>
  <c r="O45" i="32"/>
  <c r="O44" i="32"/>
  <c r="O43" i="32"/>
  <c r="O42" i="32"/>
  <c r="O41" i="32"/>
  <c r="O40" i="32"/>
  <c r="O39" i="32"/>
  <c r="O38" i="32"/>
  <c r="O37" i="32"/>
  <c r="O36" i="32"/>
  <c r="O35" i="32"/>
  <c r="O34" i="32"/>
  <c r="O33" i="32"/>
  <c r="O32" i="32"/>
  <c r="O31" i="32"/>
  <c r="O30" i="32"/>
  <c r="O29" i="32"/>
  <c r="O28" i="32"/>
  <c r="O24" i="32"/>
  <c r="O23" i="32"/>
  <c r="N22" i="32"/>
  <c r="M22" i="32"/>
  <c r="L22" i="32"/>
  <c r="K22" i="32"/>
  <c r="J22" i="32"/>
  <c r="I22" i="32"/>
  <c r="H22" i="32"/>
  <c r="G22" i="32"/>
  <c r="F22" i="32"/>
  <c r="E22" i="32"/>
  <c r="D22" i="32"/>
  <c r="C22" i="32"/>
  <c r="O17" i="32"/>
  <c r="O14" i="32"/>
  <c r="C4" i="32"/>
  <c r="O4" i="32" s="1"/>
  <c r="B1" i="32"/>
  <c r="C4" i="14"/>
  <c r="D3" i="5" s="1"/>
  <c r="P74" i="31"/>
  <c r="P73" i="31"/>
  <c r="P72" i="31"/>
  <c r="P71" i="31"/>
  <c r="P70" i="31"/>
  <c r="P69" i="31"/>
  <c r="P68" i="31"/>
  <c r="P67" i="31"/>
  <c r="C61" i="31"/>
  <c r="B61" i="31"/>
  <c r="A61" i="31"/>
  <c r="C60" i="31"/>
  <c r="B60" i="31"/>
  <c r="A60" i="31"/>
  <c r="C59" i="31"/>
  <c r="B59" i="31"/>
  <c r="A59" i="31"/>
  <c r="C58" i="31"/>
  <c r="B58" i="31"/>
  <c r="A58" i="31"/>
  <c r="C57" i="31"/>
  <c r="B57" i="31"/>
  <c r="A57" i="31"/>
  <c r="C56" i="31"/>
  <c r="B56" i="31"/>
  <c r="A56" i="31"/>
  <c r="C55" i="31"/>
  <c r="L55" i="31" s="1"/>
  <c r="B55" i="31"/>
  <c r="A55" i="31"/>
  <c r="C54" i="31"/>
  <c r="B54" i="31"/>
  <c r="A54" i="31"/>
  <c r="C53" i="31"/>
  <c r="B53" i="31"/>
  <c r="A53" i="31"/>
  <c r="C52" i="31"/>
  <c r="B52" i="31"/>
  <c r="A52" i="31"/>
  <c r="C51" i="31"/>
  <c r="B51" i="31"/>
  <c r="A51" i="31"/>
  <c r="C50" i="31"/>
  <c r="B50" i="31"/>
  <c r="A50" i="31"/>
  <c r="B49" i="31"/>
  <c r="A49" i="31"/>
  <c r="B48" i="31"/>
  <c r="A48" i="31"/>
  <c r="B47" i="31"/>
  <c r="A47" i="31"/>
  <c r="C40" i="31"/>
  <c r="K40" i="31" s="1"/>
  <c r="A40" i="31"/>
  <c r="C39" i="31"/>
  <c r="A39" i="31"/>
  <c r="C38" i="31"/>
  <c r="K38" i="31" s="1"/>
  <c r="A38" i="31"/>
  <c r="C37" i="31"/>
  <c r="A37" i="31"/>
  <c r="C36" i="31"/>
  <c r="K36" i="31" s="1"/>
  <c r="A36" i="31"/>
  <c r="C35" i="31"/>
  <c r="A35" i="31"/>
  <c r="C34" i="31"/>
  <c r="I34" i="31" s="1"/>
  <c r="A34" i="31"/>
  <c r="C33" i="31"/>
  <c r="I33" i="31" s="1"/>
  <c r="A33" i="31"/>
  <c r="C32" i="31"/>
  <c r="I32" i="31" s="1"/>
  <c r="A32" i="31"/>
  <c r="C31" i="31"/>
  <c r="I31" i="31" s="1"/>
  <c r="A31" i="31"/>
  <c r="C30" i="31"/>
  <c r="I30" i="31" s="1"/>
  <c r="A30" i="31"/>
  <c r="C29" i="31"/>
  <c r="I29" i="31" s="1"/>
  <c r="A29" i="31"/>
  <c r="C28" i="31"/>
  <c r="I28" i="31" s="1"/>
  <c r="A28" i="31"/>
  <c r="C27" i="31"/>
  <c r="I27" i="31" s="1"/>
  <c r="A27" i="31"/>
  <c r="C26" i="31"/>
  <c r="I26" i="31" s="1"/>
  <c r="A26" i="31"/>
  <c r="P25" i="31"/>
  <c r="O23" i="31"/>
  <c r="N23" i="31"/>
  <c r="M23" i="31"/>
  <c r="L23" i="31"/>
  <c r="K23" i="31"/>
  <c r="J23" i="31"/>
  <c r="I23" i="31"/>
  <c r="H23" i="31"/>
  <c r="G23" i="31"/>
  <c r="F23" i="31"/>
  <c r="E23" i="31"/>
  <c r="D23" i="31"/>
  <c r="P22" i="31"/>
  <c r="A22" i="31"/>
  <c r="P21" i="31"/>
  <c r="A21" i="31"/>
  <c r="P20" i="31"/>
  <c r="A20" i="31"/>
  <c r="P19" i="31"/>
  <c r="A19" i="31"/>
  <c r="P18" i="31"/>
  <c r="A18" i="31"/>
  <c r="P17" i="31"/>
  <c r="A17" i="31"/>
  <c r="P16" i="31"/>
  <c r="A16" i="31"/>
  <c r="P15" i="31"/>
  <c r="A15" i="31"/>
  <c r="P14" i="31"/>
  <c r="A14" i="31"/>
  <c r="P13" i="31"/>
  <c r="A13" i="31"/>
  <c r="P12" i="31"/>
  <c r="A12" i="31"/>
  <c r="P11" i="31"/>
  <c r="A11" i="31"/>
  <c r="P10" i="31"/>
  <c r="A10" i="31"/>
  <c r="P9" i="31"/>
  <c r="A9" i="31"/>
  <c r="P8" i="31"/>
  <c r="A8" i="31"/>
  <c r="C1" i="31"/>
  <c r="P74" i="30"/>
  <c r="P73" i="30"/>
  <c r="P72" i="30"/>
  <c r="P71" i="30"/>
  <c r="P70" i="30"/>
  <c r="P69" i="30"/>
  <c r="P68" i="30"/>
  <c r="P67" i="30"/>
  <c r="C61" i="30"/>
  <c r="B61" i="30"/>
  <c r="A61" i="30"/>
  <c r="C60" i="30"/>
  <c r="B60" i="30"/>
  <c r="A60" i="30"/>
  <c r="C59" i="30"/>
  <c r="B59" i="30"/>
  <c r="A59" i="30"/>
  <c r="C58" i="30"/>
  <c r="B58" i="30"/>
  <c r="A58" i="30"/>
  <c r="C57" i="30"/>
  <c r="B57" i="30"/>
  <c r="A57" i="30"/>
  <c r="C56" i="30"/>
  <c r="B56" i="30"/>
  <c r="A56" i="30"/>
  <c r="C55" i="30"/>
  <c r="B55" i="30"/>
  <c r="A55" i="30"/>
  <c r="C54" i="30"/>
  <c r="B54" i="30"/>
  <c r="A54" i="30"/>
  <c r="C53" i="30"/>
  <c r="B53" i="30"/>
  <c r="A53" i="30"/>
  <c r="C52" i="30"/>
  <c r="B52" i="30"/>
  <c r="A52" i="30"/>
  <c r="C51" i="30"/>
  <c r="B51" i="30"/>
  <c r="A51" i="30"/>
  <c r="C50" i="30"/>
  <c r="B50" i="30"/>
  <c r="A50" i="30"/>
  <c r="B49" i="30"/>
  <c r="A49" i="30"/>
  <c r="B48" i="30"/>
  <c r="A48" i="30"/>
  <c r="B47" i="30"/>
  <c r="A47" i="30"/>
  <c r="C40" i="30"/>
  <c r="M40" i="30" s="1"/>
  <c r="A40" i="30"/>
  <c r="C39" i="30"/>
  <c r="M39" i="30" s="1"/>
  <c r="A39" i="30"/>
  <c r="C38" i="30"/>
  <c r="M38" i="30" s="1"/>
  <c r="A38" i="30"/>
  <c r="C37" i="30"/>
  <c r="M37" i="30" s="1"/>
  <c r="A37" i="30"/>
  <c r="C36" i="30"/>
  <c r="M36" i="30" s="1"/>
  <c r="A36" i="30"/>
  <c r="C35" i="30"/>
  <c r="M35" i="30" s="1"/>
  <c r="A35" i="30"/>
  <c r="C34" i="30"/>
  <c r="I34" i="30" s="1"/>
  <c r="A34" i="30"/>
  <c r="C33" i="30"/>
  <c r="I33" i="30" s="1"/>
  <c r="A33" i="30"/>
  <c r="C32" i="30"/>
  <c r="I32" i="30" s="1"/>
  <c r="A32" i="30"/>
  <c r="C31" i="30"/>
  <c r="I31" i="30" s="1"/>
  <c r="A31" i="30"/>
  <c r="C30" i="30"/>
  <c r="I30" i="30" s="1"/>
  <c r="A30" i="30"/>
  <c r="C29" i="30"/>
  <c r="I29" i="30" s="1"/>
  <c r="A29" i="30"/>
  <c r="C28" i="30"/>
  <c r="I28" i="30" s="1"/>
  <c r="A28" i="30"/>
  <c r="C27" i="30"/>
  <c r="I27" i="30" s="1"/>
  <c r="A27" i="30"/>
  <c r="C26" i="30"/>
  <c r="I26" i="30" s="1"/>
  <c r="A26" i="30"/>
  <c r="P25" i="30"/>
  <c r="O23" i="30"/>
  <c r="N23" i="30"/>
  <c r="M23" i="30"/>
  <c r="L23" i="30"/>
  <c r="K23" i="30"/>
  <c r="J23" i="30"/>
  <c r="I23" i="30"/>
  <c r="H23" i="30"/>
  <c r="G23" i="30"/>
  <c r="F23" i="30"/>
  <c r="E23" i="30"/>
  <c r="D23" i="30"/>
  <c r="P22" i="30"/>
  <c r="A22" i="30"/>
  <c r="P21" i="30"/>
  <c r="A21" i="30"/>
  <c r="P20" i="30"/>
  <c r="A20" i="30"/>
  <c r="P19" i="30"/>
  <c r="A19" i="30"/>
  <c r="P18" i="30"/>
  <c r="A18" i="30"/>
  <c r="P17" i="30"/>
  <c r="A17" i="30"/>
  <c r="P16" i="30"/>
  <c r="A16" i="30"/>
  <c r="P15" i="30"/>
  <c r="A15" i="30"/>
  <c r="P14" i="30"/>
  <c r="A14" i="30"/>
  <c r="P13" i="30"/>
  <c r="A13" i="30"/>
  <c r="P12" i="30"/>
  <c r="A12" i="30"/>
  <c r="P11" i="30"/>
  <c r="A11" i="30"/>
  <c r="P10" i="30"/>
  <c r="A10" i="30"/>
  <c r="P9" i="30"/>
  <c r="A9" i="30"/>
  <c r="P8" i="30"/>
  <c r="A8" i="30"/>
  <c r="C1" i="30"/>
  <c r="A14" i="12"/>
  <c r="N40" i="29"/>
  <c r="M40" i="29"/>
  <c r="L40" i="29"/>
  <c r="K40" i="29"/>
  <c r="J40" i="29"/>
  <c r="I40" i="29"/>
  <c r="H40" i="29"/>
  <c r="G40" i="29"/>
  <c r="F40" i="29"/>
  <c r="E40" i="29"/>
  <c r="D40" i="29"/>
  <c r="C40" i="29"/>
  <c r="O39" i="29"/>
  <c r="O38" i="29"/>
  <c r="O37" i="29"/>
  <c r="O36" i="29"/>
  <c r="O35" i="29"/>
  <c r="O34" i="29"/>
  <c r="O33" i="29"/>
  <c r="O32" i="29"/>
  <c r="O31" i="29"/>
  <c r="O30" i="29"/>
  <c r="O29" i="29"/>
  <c r="O28" i="29"/>
  <c r="O27" i="29"/>
  <c r="O26" i="29"/>
  <c r="O25" i="29"/>
  <c r="O24" i="29"/>
  <c r="O23" i="29"/>
  <c r="O22" i="29"/>
  <c r="O21" i="29"/>
  <c r="O20" i="29"/>
  <c r="O19" i="29"/>
  <c r="O18" i="29"/>
  <c r="O17" i="29"/>
  <c r="O16" i="29"/>
  <c r="O15" i="29"/>
  <c r="O14" i="29"/>
  <c r="O13" i="29"/>
  <c r="O12" i="29"/>
  <c r="O11" i="29"/>
  <c r="O10" i="29"/>
  <c r="O9" i="29"/>
  <c r="O7" i="29"/>
  <c r="O6" i="29"/>
  <c r="B1" i="29"/>
  <c r="C1" i="11"/>
  <c r="AB43" i="22"/>
  <c r="AA43" i="22"/>
  <c r="Z43" i="22"/>
  <c r="Y43" i="22"/>
  <c r="X43" i="22"/>
  <c r="W43" i="22"/>
  <c r="V43" i="22"/>
  <c r="U43" i="22"/>
  <c r="T43" i="22"/>
  <c r="S43" i="22"/>
  <c r="R43" i="22"/>
  <c r="Q43" i="22"/>
  <c r="AB42" i="22"/>
  <c r="AA42" i="22"/>
  <c r="Z42" i="22"/>
  <c r="Y42" i="22"/>
  <c r="X42" i="22"/>
  <c r="W42" i="22"/>
  <c r="V42" i="22"/>
  <c r="U42" i="22"/>
  <c r="T42" i="22"/>
  <c r="S42" i="22"/>
  <c r="R42" i="22"/>
  <c r="Q42" i="22"/>
  <c r="AB41" i="22"/>
  <c r="AA41" i="22"/>
  <c r="Z41" i="22"/>
  <c r="Y41" i="22"/>
  <c r="X41" i="22"/>
  <c r="W41" i="22"/>
  <c r="V41" i="22"/>
  <c r="U41" i="22"/>
  <c r="T41" i="22"/>
  <c r="S41" i="22"/>
  <c r="R41" i="22"/>
  <c r="Q41" i="22"/>
  <c r="AB40" i="22"/>
  <c r="AA40" i="22"/>
  <c r="Z40" i="22"/>
  <c r="Y40" i="22"/>
  <c r="X40" i="22"/>
  <c r="W40" i="22"/>
  <c r="V40" i="22"/>
  <c r="U40" i="22"/>
  <c r="T40" i="22"/>
  <c r="S40" i="22"/>
  <c r="R40" i="22"/>
  <c r="Q40" i="22"/>
  <c r="AB39" i="22"/>
  <c r="AA39" i="22"/>
  <c r="Z39" i="22"/>
  <c r="Y39" i="22"/>
  <c r="X39" i="22"/>
  <c r="W39" i="22"/>
  <c r="V39" i="22"/>
  <c r="U39" i="22"/>
  <c r="T39" i="22"/>
  <c r="S39" i="22"/>
  <c r="R39" i="22"/>
  <c r="Q39" i="22"/>
  <c r="AB38" i="22"/>
  <c r="AA38" i="22"/>
  <c r="Z38" i="22"/>
  <c r="Y38" i="22"/>
  <c r="X38" i="22"/>
  <c r="W38" i="22"/>
  <c r="V38" i="22"/>
  <c r="U38" i="22"/>
  <c r="T38" i="22"/>
  <c r="S38" i="22"/>
  <c r="R38" i="22"/>
  <c r="Q38" i="22"/>
  <c r="AB37" i="22"/>
  <c r="AA37" i="22"/>
  <c r="Z37" i="22"/>
  <c r="Y37" i="22"/>
  <c r="X37" i="22"/>
  <c r="W37" i="22"/>
  <c r="V37" i="22"/>
  <c r="U37" i="22"/>
  <c r="T37" i="22"/>
  <c r="S37" i="22"/>
  <c r="R37" i="22"/>
  <c r="Q37" i="22"/>
  <c r="AB36" i="22"/>
  <c r="AA36" i="22"/>
  <c r="Z36" i="22"/>
  <c r="Y36" i="22"/>
  <c r="X36" i="22"/>
  <c r="W36" i="22"/>
  <c r="V36" i="22"/>
  <c r="U36" i="22"/>
  <c r="T36" i="22"/>
  <c r="S36" i="22"/>
  <c r="R36" i="22"/>
  <c r="Q36" i="22"/>
  <c r="AB35" i="22"/>
  <c r="AA35" i="22"/>
  <c r="Z35" i="22"/>
  <c r="Y35" i="22"/>
  <c r="X35" i="22"/>
  <c r="W35" i="22"/>
  <c r="V35" i="22"/>
  <c r="U35" i="22"/>
  <c r="T35" i="22"/>
  <c r="S35" i="22"/>
  <c r="R35" i="22"/>
  <c r="Q35" i="22"/>
  <c r="AB34" i="22"/>
  <c r="AA34" i="22"/>
  <c r="Z34" i="22"/>
  <c r="Y34" i="22"/>
  <c r="X34" i="22"/>
  <c r="W34" i="22"/>
  <c r="V34" i="22"/>
  <c r="U34" i="22"/>
  <c r="T34" i="22"/>
  <c r="S34" i="22"/>
  <c r="R34" i="22"/>
  <c r="Q34" i="22"/>
  <c r="AB33" i="22"/>
  <c r="AA33" i="22"/>
  <c r="Z33" i="22"/>
  <c r="Y33" i="22"/>
  <c r="X33" i="22"/>
  <c r="W33" i="22"/>
  <c r="V33" i="22"/>
  <c r="U33" i="22"/>
  <c r="T33" i="22"/>
  <c r="S33" i="22"/>
  <c r="R33" i="22"/>
  <c r="Q33" i="22"/>
  <c r="AB32" i="22"/>
  <c r="AA32" i="22"/>
  <c r="Z32" i="22"/>
  <c r="Y32" i="22"/>
  <c r="X32" i="22"/>
  <c r="W32" i="22"/>
  <c r="V32" i="22"/>
  <c r="U32" i="22"/>
  <c r="T32" i="22"/>
  <c r="S32" i="22"/>
  <c r="R32" i="22"/>
  <c r="Q32" i="22"/>
  <c r="AB31" i="22"/>
  <c r="AA31" i="22"/>
  <c r="Z31" i="22"/>
  <c r="Y31" i="22"/>
  <c r="X31" i="22"/>
  <c r="W31" i="22"/>
  <c r="V31" i="22"/>
  <c r="U31" i="22"/>
  <c r="T31" i="22"/>
  <c r="S31" i="22"/>
  <c r="R31" i="22"/>
  <c r="Q31" i="22"/>
  <c r="AB30" i="22"/>
  <c r="AA30" i="22"/>
  <c r="Z30" i="22"/>
  <c r="Y30" i="22"/>
  <c r="X30" i="22"/>
  <c r="W30" i="22"/>
  <c r="V30" i="22"/>
  <c r="U30" i="22"/>
  <c r="T30" i="22"/>
  <c r="S30" i="22"/>
  <c r="R30" i="22"/>
  <c r="Q30" i="22"/>
  <c r="AB29" i="22"/>
  <c r="AA29" i="22"/>
  <c r="Z29" i="22"/>
  <c r="Y29" i="22"/>
  <c r="X29" i="22"/>
  <c r="W29" i="22"/>
  <c r="V29" i="22"/>
  <c r="U29" i="22"/>
  <c r="T29" i="22"/>
  <c r="S29" i="22"/>
  <c r="R29" i="22"/>
  <c r="Q29" i="22"/>
  <c r="N29" i="22"/>
  <c r="M29" i="22"/>
  <c r="L29" i="22"/>
  <c r="K29" i="22"/>
  <c r="J29" i="22"/>
  <c r="I29" i="22"/>
  <c r="H29" i="22"/>
  <c r="G29" i="22"/>
  <c r="F29" i="22"/>
  <c r="AB21" i="22"/>
  <c r="AA21" i="22"/>
  <c r="Z21" i="22"/>
  <c r="Y21" i="22"/>
  <c r="X21" i="22"/>
  <c r="W21" i="22"/>
  <c r="V21" i="22"/>
  <c r="U21" i="22"/>
  <c r="T21" i="22"/>
  <c r="S21" i="22"/>
  <c r="R21" i="22"/>
  <c r="Q21" i="22"/>
  <c r="A21" i="22"/>
  <c r="A43" i="22" s="1"/>
  <c r="AB20" i="22"/>
  <c r="AA20" i="22"/>
  <c r="Z20" i="22"/>
  <c r="Y20" i="22"/>
  <c r="X20" i="22"/>
  <c r="W20" i="22"/>
  <c r="V20" i="22"/>
  <c r="U20" i="22"/>
  <c r="T20" i="22"/>
  <c r="S20" i="22"/>
  <c r="R20" i="22"/>
  <c r="Q20" i="22"/>
  <c r="A20" i="22"/>
  <c r="A42" i="22" s="1"/>
  <c r="AB19" i="22"/>
  <c r="AA19" i="22"/>
  <c r="Z19" i="22"/>
  <c r="Y19" i="22"/>
  <c r="X19" i="22"/>
  <c r="W19" i="22"/>
  <c r="V19" i="22"/>
  <c r="U19" i="22"/>
  <c r="T19" i="22"/>
  <c r="S19" i="22"/>
  <c r="R19" i="22"/>
  <c r="Q19" i="22"/>
  <c r="A19" i="22"/>
  <c r="A41" i="22" s="1"/>
  <c r="AB18" i="22"/>
  <c r="AA18" i="22"/>
  <c r="Z18" i="22"/>
  <c r="Y18" i="22"/>
  <c r="X18" i="22"/>
  <c r="W18" i="22"/>
  <c r="V18" i="22"/>
  <c r="U18" i="22"/>
  <c r="T18" i="22"/>
  <c r="S18" i="22"/>
  <c r="R18" i="22"/>
  <c r="Q18" i="22"/>
  <c r="A18" i="22"/>
  <c r="A40" i="22" s="1"/>
  <c r="AB17" i="22"/>
  <c r="AA17" i="22"/>
  <c r="Z17" i="22"/>
  <c r="Y17" i="22"/>
  <c r="X17" i="22"/>
  <c r="W17" i="22"/>
  <c r="V17" i="22"/>
  <c r="U17" i="22"/>
  <c r="T17" i="22"/>
  <c r="S17" i="22"/>
  <c r="R17" i="22"/>
  <c r="Q17" i="22"/>
  <c r="A17" i="22"/>
  <c r="A39" i="22" s="1"/>
  <c r="AB16" i="22"/>
  <c r="AA16" i="22"/>
  <c r="Z16" i="22"/>
  <c r="Y16" i="22"/>
  <c r="X16" i="22"/>
  <c r="W16" i="22"/>
  <c r="V16" i="22"/>
  <c r="U16" i="22"/>
  <c r="T16" i="22"/>
  <c r="S16" i="22"/>
  <c r="R16" i="22"/>
  <c r="Q16" i="22"/>
  <c r="A16" i="22"/>
  <c r="A38" i="22" s="1"/>
  <c r="AB15" i="22"/>
  <c r="AA15" i="22"/>
  <c r="Z15" i="22"/>
  <c r="Y15" i="22"/>
  <c r="X15" i="22"/>
  <c r="W15" i="22"/>
  <c r="V15" i="22"/>
  <c r="U15" i="22"/>
  <c r="T15" i="22"/>
  <c r="S15" i="22"/>
  <c r="R15" i="22"/>
  <c r="Q15" i="22"/>
  <c r="A15" i="22"/>
  <c r="A37" i="22" s="1"/>
  <c r="AB14" i="22"/>
  <c r="AA14" i="22"/>
  <c r="Z14" i="22"/>
  <c r="Y14" i="22"/>
  <c r="X14" i="22"/>
  <c r="W14" i="22"/>
  <c r="V14" i="22"/>
  <c r="U14" i="22"/>
  <c r="T14" i="22"/>
  <c r="S14" i="22"/>
  <c r="R14" i="22"/>
  <c r="Q14" i="22"/>
  <c r="A14" i="22"/>
  <c r="A36" i="22" s="1"/>
  <c r="AB13" i="22"/>
  <c r="AA13" i="22"/>
  <c r="Z13" i="22"/>
  <c r="Y13" i="22"/>
  <c r="X13" i="22"/>
  <c r="W13" i="22"/>
  <c r="V13" i="22"/>
  <c r="U13" i="22"/>
  <c r="T13" i="22"/>
  <c r="S13" i="22"/>
  <c r="R13" i="22"/>
  <c r="Q13" i="22"/>
  <c r="A13" i="22"/>
  <c r="A35" i="22" s="1"/>
  <c r="AB12" i="22"/>
  <c r="AA12" i="22"/>
  <c r="Z12" i="22"/>
  <c r="Y12" i="22"/>
  <c r="X12" i="22"/>
  <c r="W12" i="22"/>
  <c r="V12" i="22"/>
  <c r="U12" i="22"/>
  <c r="T12" i="22"/>
  <c r="S12" i="22"/>
  <c r="R12" i="22"/>
  <c r="Q12" i="22"/>
  <c r="A12" i="22"/>
  <c r="A34" i="22" s="1"/>
  <c r="AB11" i="22"/>
  <c r="AA11" i="22"/>
  <c r="Z11" i="22"/>
  <c r="Y11" i="22"/>
  <c r="X11" i="22"/>
  <c r="W11" i="22"/>
  <c r="V11" i="22"/>
  <c r="U11" i="22"/>
  <c r="T11" i="22"/>
  <c r="S11" i="22"/>
  <c r="R11" i="22"/>
  <c r="Q11" i="22"/>
  <c r="A11" i="22"/>
  <c r="A33" i="22" s="1"/>
  <c r="AB10" i="22"/>
  <c r="AA10" i="22"/>
  <c r="Z10" i="22"/>
  <c r="Y10" i="22"/>
  <c r="X10" i="22"/>
  <c r="W10" i="22"/>
  <c r="V10" i="22"/>
  <c r="U10" i="22"/>
  <c r="T10" i="22"/>
  <c r="S10" i="22"/>
  <c r="R10" i="22"/>
  <c r="Q10" i="22"/>
  <c r="A10" i="22"/>
  <c r="A32" i="22" s="1"/>
  <c r="AB9" i="22"/>
  <c r="AA9" i="22"/>
  <c r="Z9" i="22"/>
  <c r="Y9" i="22"/>
  <c r="X9" i="22"/>
  <c r="W9" i="22"/>
  <c r="V9" i="22"/>
  <c r="U9" i="22"/>
  <c r="T9" i="22"/>
  <c r="S9" i="22"/>
  <c r="R9" i="22"/>
  <c r="Q9" i="22"/>
  <c r="A9" i="22"/>
  <c r="A31" i="22" s="1"/>
  <c r="AB8" i="22"/>
  <c r="AA8" i="22"/>
  <c r="Z8" i="22"/>
  <c r="Y8" i="22"/>
  <c r="X8" i="22"/>
  <c r="W8" i="22"/>
  <c r="V8" i="22"/>
  <c r="U8" i="22"/>
  <c r="T8" i="22"/>
  <c r="S8" i="22"/>
  <c r="R8" i="22"/>
  <c r="Q8" i="22"/>
  <c r="A8" i="22"/>
  <c r="A30" i="22" s="1"/>
  <c r="AB7" i="22"/>
  <c r="AA7" i="22"/>
  <c r="Z7" i="22"/>
  <c r="Y7" i="22"/>
  <c r="X7" i="22"/>
  <c r="W7" i="22"/>
  <c r="V7" i="22"/>
  <c r="U7" i="22"/>
  <c r="T7" i="22"/>
  <c r="S7" i="22"/>
  <c r="R7" i="22"/>
  <c r="Q7" i="22"/>
  <c r="A7" i="22"/>
  <c r="A29" i="22" s="1"/>
  <c r="L24" i="21"/>
  <c r="H23" i="21"/>
  <c r="G23" i="21"/>
  <c r="H22" i="21"/>
  <c r="G22" i="21"/>
  <c r="L21" i="21"/>
  <c r="H21" i="21"/>
  <c r="G21" i="21"/>
  <c r="B11" i="21"/>
  <c r="C11" i="21" s="1"/>
  <c r="B10" i="21"/>
  <c r="C10" i="21" s="1"/>
  <c r="B7" i="21"/>
  <c r="B6" i="21"/>
  <c r="C6" i="21" s="1"/>
  <c r="B2" i="21"/>
  <c r="J12" i="20"/>
  <c r="B1" i="20"/>
  <c r="F22" i="19"/>
  <c r="B1" i="19"/>
  <c r="B1" i="18"/>
  <c r="A64" i="17"/>
  <c r="A52" i="17"/>
  <c r="A50" i="17"/>
  <c r="A48" i="17"/>
  <c r="A46" i="17"/>
  <c r="A44" i="17"/>
  <c r="A42" i="17"/>
  <c r="A40" i="17"/>
  <c r="A38" i="17"/>
  <c r="A35" i="17"/>
  <c r="A25" i="17"/>
  <c r="A23" i="17"/>
  <c r="A21" i="17"/>
  <c r="A19" i="17"/>
  <c r="A17" i="17"/>
  <c r="A15" i="17"/>
  <c r="A13" i="17"/>
  <c r="C12" i="17"/>
  <c r="I11" i="17"/>
  <c r="A11" i="17"/>
  <c r="C8" i="17"/>
  <c r="A8" i="17"/>
  <c r="C7" i="17"/>
  <c r="A7" i="17"/>
  <c r="I7" i="17"/>
  <c r="A6" i="17"/>
  <c r="B1" i="17"/>
  <c r="A64" i="16"/>
  <c r="A63" i="16"/>
  <c r="A62" i="16"/>
  <c r="E61"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E14" i="16"/>
  <c r="C63" i="17" s="1"/>
  <c r="C14" i="16"/>
  <c r="A13" i="16"/>
  <c r="A12" i="16"/>
  <c r="C10" i="16"/>
  <c r="B1" i="16"/>
  <c r="C84" i="14"/>
  <c r="O82" i="14"/>
  <c r="H45" i="17" s="1"/>
  <c r="N78" i="14"/>
  <c r="M78" i="14"/>
  <c r="L78" i="14"/>
  <c r="K78" i="14"/>
  <c r="J78" i="14"/>
  <c r="I78" i="14"/>
  <c r="H78" i="14"/>
  <c r="G78" i="14"/>
  <c r="F78" i="14"/>
  <c r="E78" i="14"/>
  <c r="D78" i="14"/>
  <c r="O73" i="14"/>
  <c r="C64" i="16" s="1"/>
  <c r="O72" i="14"/>
  <c r="C63" i="16" s="1"/>
  <c r="N71" i="14"/>
  <c r="M71" i="14"/>
  <c r="L71" i="14"/>
  <c r="K71" i="14"/>
  <c r="J71" i="14"/>
  <c r="I71" i="14"/>
  <c r="H71" i="14"/>
  <c r="G71" i="14"/>
  <c r="F71" i="14"/>
  <c r="E71" i="14"/>
  <c r="D71" i="14"/>
  <c r="C71" i="14"/>
  <c r="O70" i="14"/>
  <c r="C61" i="16" s="1"/>
  <c r="O69" i="14"/>
  <c r="C60" i="16" s="1"/>
  <c r="O68" i="14"/>
  <c r="C59" i="16" s="1"/>
  <c r="W67" i="14"/>
  <c r="V67" i="14"/>
  <c r="U67" i="14"/>
  <c r="T67" i="14"/>
  <c r="S67" i="14"/>
  <c r="P67" i="14"/>
  <c r="Q67" i="14" s="1"/>
  <c r="A67" i="14"/>
  <c r="W66" i="14"/>
  <c r="V66" i="14"/>
  <c r="U66" i="14"/>
  <c r="T66" i="14"/>
  <c r="S66" i="14"/>
  <c r="P66" i="14"/>
  <c r="Q66" i="14" s="1"/>
  <c r="A66" i="14"/>
  <c r="S65" i="14"/>
  <c r="A65" i="14"/>
  <c r="S64" i="14"/>
  <c r="S63" i="14"/>
  <c r="S62" i="14"/>
  <c r="S61" i="14"/>
  <c r="S60" i="14"/>
  <c r="S59" i="14"/>
  <c r="S58" i="14"/>
  <c r="S57" i="14"/>
  <c r="S56" i="14"/>
  <c r="S55" i="14"/>
  <c r="S54" i="14"/>
  <c r="C53" i="14"/>
  <c r="O52" i="14"/>
  <c r="O51" i="14"/>
  <c r="O50" i="14"/>
  <c r="O49" i="14"/>
  <c r="O48" i="14"/>
  <c r="O46" i="14"/>
  <c r="O45" i="14"/>
  <c r="O44" i="14"/>
  <c r="O43" i="14"/>
  <c r="O42" i="14"/>
  <c r="O41" i="14"/>
  <c r="O40" i="14"/>
  <c r="O39" i="14"/>
  <c r="O38" i="14"/>
  <c r="O37" i="14"/>
  <c r="O36" i="14"/>
  <c r="O35" i="14"/>
  <c r="O34" i="14"/>
  <c r="O33" i="14"/>
  <c r="O32" i="14"/>
  <c r="O31" i="14"/>
  <c r="O30" i="14"/>
  <c r="O29" i="14"/>
  <c r="O28" i="14"/>
  <c r="O24" i="14"/>
  <c r="O23" i="14"/>
  <c r="N22" i="14"/>
  <c r="M22" i="14"/>
  <c r="L22" i="14"/>
  <c r="K22" i="14"/>
  <c r="J22" i="14"/>
  <c r="I22" i="14"/>
  <c r="H22" i="14"/>
  <c r="G22" i="14"/>
  <c r="F22" i="14"/>
  <c r="E22" i="14"/>
  <c r="D22" i="14"/>
  <c r="C22" i="14"/>
  <c r="O17" i="14"/>
  <c r="O14" i="14"/>
  <c r="O4" i="14"/>
  <c r="C3" i="14"/>
  <c r="B1" i="14"/>
  <c r="P74" i="12"/>
  <c r="P73" i="12"/>
  <c r="P72" i="12"/>
  <c r="P71" i="12"/>
  <c r="P70" i="12"/>
  <c r="P69" i="12"/>
  <c r="P68" i="12"/>
  <c r="P67" i="12"/>
  <c r="C61" i="12"/>
  <c r="B61" i="12"/>
  <c r="A61" i="12"/>
  <c r="C60" i="12"/>
  <c r="B60" i="12"/>
  <c r="A60" i="12"/>
  <c r="C59" i="12"/>
  <c r="B59" i="12"/>
  <c r="A59" i="12"/>
  <c r="C58" i="12"/>
  <c r="B58" i="12"/>
  <c r="A58" i="12"/>
  <c r="C57" i="12"/>
  <c r="B57" i="12"/>
  <c r="A57" i="12"/>
  <c r="C56" i="12"/>
  <c r="B56" i="12"/>
  <c r="A56" i="12"/>
  <c r="C55" i="12"/>
  <c r="B55" i="12"/>
  <c r="A55" i="12"/>
  <c r="C54" i="12"/>
  <c r="B54" i="12"/>
  <c r="A54" i="12"/>
  <c r="C53" i="12"/>
  <c r="B53" i="12"/>
  <c r="A53" i="12"/>
  <c r="C52" i="12"/>
  <c r="B52" i="12"/>
  <c r="A52" i="12"/>
  <c r="C51" i="12"/>
  <c r="B51" i="12"/>
  <c r="A51" i="12"/>
  <c r="C50" i="12"/>
  <c r="B50" i="12"/>
  <c r="A50" i="12"/>
  <c r="B49" i="12"/>
  <c r="A49" i="12"/>
  <c r="B48" i="12"/>
  <c r="A48" i="12"/>
  <c r="B47" i="12"/>
  <c r="A47" i="12"/>
  <c r="C40" i="12"/>
  <c r="L40" i="12" s="1"/>
  <c r="A40" i="12"/>
  <c r="C39" i="12"/>
  <c r="L39" i="12" s="1"/>
  <c r="A39" i="12"/>
  <c r="G26" i="20" s="1"/>
  <c r="C38" i="12"/>
  <c r="L38" i="12" s="1"/>
  <c r="A38" i="12"/>
  <c r="G25" i="20" s="1"/>
  <c r="C37" i="12"/>
  <c r="L37" i="12" s="1"/>
  <c r="A37" i="12"/>
  <c r="G24" i="20" s="1"/>
  <c r="C36" i="12"/>
  <c r="L36" i="12" s="1"/>
  <c r="A36" i="12"/>
  <c r="G23" i="20" s="1"/>
  <c r="C35" i="12"/>
  <c r="L35" i="12" s="1"/>
  <c r="A35" i="12"/>
  <c r="G22" i="20" s="1"/>
  <c r="C34" i="12"/>
  <c r="I34" i="12" s="1"/>
  <c r="A34" i="12"/>
  <c r="G21" i="20" s="1"/>
  <c r="C33" i="12"/>
  <c r="L33" i="12" s="1"/>
  <c r="A33" i="12"/>
  <c r="G20" i="20" s="1"/>
  <c r="C32" i="12"/>
  <c r="L32" i="12" s="1"/>
  <c r="A32" i="12"/>
  <c r="G19" i="20" s="1"/>
  <c r="C31" i="12"/>
  <c r="L31" i="12" s="1"/>
  <c r="A31" i="12"/>
  <c r="G18" i="20" s="1"/>
  <c r="C30" i="12"/>
  <c r="L30" i="12" s="1"/>
  <c r="A30" i="12"/>
  <c r="G17" i="20" s="1"/>
  <c r="C29" i="12"/>
  <c r="L29" i="12" s="1"/>
  <c r="A29" i="12"/>
  <c r="G16" i="20" s="1"/>
  <c r="C28" i="12"/>
  <c r="L28" i="12" s="1"/>
  <c r="A28" i="12"/>
  <c r="G15" i="20" s="1"/>
  <c r="C27" i="12"/>
  <c r="L27" i="12" s="1"/>
  <c r="A27" i="12"/>
  <c r="G14" i="20" s="1"/>
  <c r="C26" i="12"/>
  <c r="L26" i="12" s="1"/>
  <c r="A26" i="12"/>
  <c r="G13" i="20" s="1"/>
  <c r="P25" i="12"/>
  <c r="O23" i="12"/>
  <c r="N23" i="12"/>
  <c r="M23" i="12"/>
  <c r="L23" i="12"/>
  <c r="K23" i="12"/>
  <c r="J23" i="12"/>
  <c r="I23" i="12"/>
  <c r="H23" i="12"/>
  <c r="G23" i="12"/>
  <c r="F23" i="12"/>
  <c r="E23" i="12"/>
  <c r="D23" i="12"/>
  <c r="P22" i="12"/>
  <c r="A22" i="12"/>
  <c r="P21" i="12"/>
  <c r="A21" i="12"/>
  <c r="P20" i="12"/>
  <c r="A20" i="12"/>
  <c r="P19" i="12"/>
  <c r="A19" i="12"/>
  <c r="P18" i="12"/>
  <c r="A18" i="12"/>
  <c r="P17" i="12"/>
  <c r="A17" i="12"/>
  <c r="P16" i="12"/>
  <c r="A16" i="12"/>
  <c r="P15" i="12"/>
  <c r="A15" i="12"/>
  <c r="P14" i="12"/>
  <c r="P13" i="12"/>
  <c r="A13" i="12"/>
  <c r="P12" i="12"/>
  <c r="A12" i="12"/>
  <c r="P11" i="12"/>
  <c r="A11" i="12"/>
  <c r="P10" i="12"/>
  <c r="A10" i="12"/>
  <c r="P9" i="12"/>
  <c r="A9" i="12"/>
  <c r="P8" i="12"/>
  <c r="A8" i="12"/>
  <c r="C1" i="12"/>
  <c r="J30" i="11"/>
  <c r="E30" i="11"/>
  <c r="J29" i="11"/>
  <c r="E29" i="11"/>
  <c r="J28" i="11"/>
  <c r="E28" i="11"/>
  <c r="J27" i="11"/>
  <c r="E27" i="11"/>
  <c r="J26" i="11"/>
  <c r="E26" i="11"/>
  <c r="J25" i="11"/>
  <c r="E25" i="11"/>
  <c r="J24" i="11"/>
  <c r="E24" i="11"/>
  <c r="J23" i="11"/>
  <c r="E23" i="11"/>
  <c r="J22" i="11"/>
  <c r="E22" i="11"/>
  <c r="J21" i="11"/>
  <c r="E21" i="11"/>
  <c r="J20" i="11"/>
  <c r="E20" i="11"/>
  <c r="H26" i="20" s="1"/>
  <c r="J19" i="11"/>
  <c r="E19" i="11"/>
  <c r="H25" i="20" s="1"/>
  <c r="J18" i="11"/>
  <c r="E18" i="11"/>
  <c r="H24" i="20" s="1"/>
  <c r="J17" i="11"/>
  <c r="E17" i="11"/>
  <c r="H23" i="20" s="1"/>
  <c r="J16" i="11"/>
  <c r="E16" i="11"/>
  <c r="H22" i="20" s="1"/>
  <c r="J15" i="11"/>
  <c r="E15" i="11"/>
  <c r="H21" i="20" s="1"/>
  <c r="J14" i="11"/>
  <c r="E14" i="11"/>
  <c r="H20" i="20" s="1"/>
  <c r="J13" i="11"/>
  <c r="E13" i="11"/>
  <c r="H19" i="20" s="1"/>
  <c r="J12" i="11"/>
  <c r="E12" i="11"/>
  <c r="H18" i="20" s="1"/>
  <c r="J11" i="11"/>
  <c r="E11" i="11"/>
  <c r="H17" i="20" s="1"/>
  <c r="J10" i="11"/>
  <c r="E10" i="11"/>
  <c r="H16" i="20" s="1"/>
  <c r="J9" i="11"/>
  <c r="E9" i="11"/>
  <c r="H15" i="20" s="1"/>
  <c r="J8" i="11"/>
  <c r="E8" i="11"/>
  <c r="H14" i="20" s="1"/>
  <c r="J7" i="11"/>
  <c r="E7" i="11"/>
  <c r="H13" i="20" s="1"/>
  <c r="E6" i="11"/>
  <c r="N40" i="9"/>
  <c r="M40" i="9"/>
  <c r="M27" i="35" s="1"/>
  <c r="L40" i="9"/>
  <c r="K40" i="9"/>
  <c r="J40" i="9"/>
  <c r="I40" i="9"/>
  <c r="I27" i="35" s="1"/>
  <c r="H40" i="9"/>
  <c r="G40" i="9"/>
  <c r="F40" i="9"/>
  <c r="E40" i="9"/>
  <c r="E27" i="35" s="1"/>
  <c r="D40" i="9"/>
  <c r="C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7" i="9"/>
  <c r="O6" i="9"/>
  <c r="B1" i="9"/>
  <c r="A36" i="8"/>
  <c r="B34" i="8"/>
  <c r="E33" i="8"/>
  <c r="B30" i="8"/>
  <c r="A18" i="8"/>
  <c r="B16" i="8"/>
  <c r="B12" i="8"/>
  <c r="B1" i="8"/>
  <c r="B30" i="7"/>
  <c r="K29" i="7"/>
  <c r="L29" i="7" s="1"/>
  <c r="J29" i="7"/>
  <c r="G29" i="7"/>
  <c r="F29" i="7"/>
  <c r="C29" i="7"/>
  <c r="D29" i="7" s="1"/>
  <c r="K28" i="7"/>
  <c r="L28" i="7" s="1"/>
  <c r="J28" i="7"/>
  <c r="G28" i="7"/>
  <c r="F28" i="7"/>
  <c r="C28" i="7"/>
  <c r="D28" i="7" s="1"/>
  <c r="K27" i="7"/>
  <c r="L27" i="7" s="1"/>
  <c r="J27" i="7"/>
  <c r="G27" i="7"/>
  <c r="F27" i="7"/>
  <c r="C27" i="7"/>
  <c r="D27" i="7" s="1"/>
  <c r="J26" i="7"/>
  <c r="K26" i="7" s="1"/>
  <c r="L26" i="7" s="1"/>
  <c r="G26" i="7"/>
  <c r="F26" i="7"/>
  <c r="C26" i="7"/>
  <c r="D26" i="7" s="1"/>
  <c r="K25" i="7"/>
  <c r="J25" i="7"/>
  <c r="G25" i="7"/>
  <c r="F25" i="7"/>
  <c r="B20" i="7"/>
  <c r="H12" i="7"/>
  <c r="E12" i="7"/>
  <c r="X11" i="7"/>
  <c r="V11" i="7" s="1"/>
  <c r="H11" i="7"/>
  <c r="E11" i="7"/>
  <c r="H10" i="7"/>
  <c r="E10" i="7"/>
  <c r="X9" i="7"/>
  <c r="V10" i="7" s="1"/>
  <c r="H9" i="7"/>
  <c r="E9" i="7"/>
  <c r="B19" i="17" s="1"/>
  <c r="C20" i="17" s="1"/>
  <c r="H8" i="7"/>
  <c r="E8" i="7"/>
  <c r="V7" i="7"/>
  <c r="C78" i="35" s="1"/>
  <c r="O78" i="35" s="1"/>
  <c r="P78" i="35" s="1"/>
  <c r="H7" i="7"/>
  <c r="E7" i="7"/>
  <c r="B15" i="17" s="1"/>
  <c r="C16" i="17" s="1"/>
  <c r="H6" i="7"/>
  <c r="E6" i="7"/>
  <c r="H5" i="7"/>
  <c r="E5" i="7"/>
  <c r="B38" i="17" s="1"/>
  <c r="B1" i="7"/>
  <c r="V55" i="6"/>
  <c r="P65" i="35" s="1"/>
  <c r="Q65" i="35" s="1"/>
  <c r="T55" i="6"/>
  <c r="S55" i="6"/>
  <c r="U55" i="6" s="1"/>
  <c r="R55" i="6"/>
  <c r="M55" i="6" s="1"/>
  <c r="V54" i="6"/>
  <c r="P64" i="35" s="1"/>
  <c r="Q64" i="35" s="1"/>
  <c r="T54" i="6"/>
  <c r="S54" i="6"/>
  <c r="U54" i="6" s="1"/>
  <c r="R54" i="6"/>
  <c r="L54" i="6" s="1"/>
  <c r="V53" i="6"/>
  <c r="P63" i="35" s="1"/>
  <c r="Q63" i="35" s="1"/>
  <c r="T53" i="6"/>
  <c r="S53" i="6"/>
  <c r="U53" i="6" s="1"/>
  <c r="R53" i="6"/>
  <c r="J53" i="6" s="1"/>
  <c r="V52" i="6"/>
  <c r="T52" i="6"/>
  <c r="S52" i="6"/>
  <c r="U52" i="6" s="1"/>
  <c r="R52" i="6"/>
  <c r="J52" i="6" s="1"/>
  <c r="E52" i="6"/>
  <c r="V51" i="6"/>
  <c r="P61" i="35" s="1"/>
  <c r="Q61" i="35" s="1"/>
  <c r="T51" i="6"/>
  <c r="S51" i="6"/>
  <c r="U51" i="6" s="1"/>
  <c r="R51" i="6"/>
  <c r="I51" i="6" s="1"/>
  <c r="V50" i="6"/>
  <c r="P60" i="35" s="1"/>
  <c r="Q60" i="35" s="1"/>
  <c r="T50" i="6"/>
  <c r="S50" i="6"/>
  <c r="U50" i="6" s="1"/>
  <c r="R50" i="6"/>
  <c r="H50" i="6" s="1"/>
  <c r="V49" i="6"/>
  <c r="P59" i="35" s="1"/>
  <c r="Q59" i="35" s="1"/>
  <c r="T49" i="6"/>
  <c r="S49" i="6"/>
  <c r="U49" i="6" s="1"/>
  <c r="R49" i="6"/>
  <c r="M49" i="6" s="1"/>
  <c r="V48" i="6"/>
  <c r="P58" i="35" s="1"/>
  <c r="Q58" i="35" s="1"/>
  <c r="T48" i="6"/>
  <c r="S48" i="6"/>
  <c r="U48" i="6" s="1"/>
  <c r="R48" i="6"/>
  <c r="L48" i="6" s="1"/>
  <c r="V47" i="6"/>
  <c r="P57" i="35" s="1"/>
  <c r="Q57" i="35" s="1"/>
  <c r="T47" i="6"/>
  <c r="S47" i="6"/>
  <c r="U47" i="6" s="1"/>
  <c r="R47" i="6"/>
  <c r="M47" i="6" s="1"/>
  <c r="V46" i="6"/>
  <c r="P56" i="35" s="1"/>
  <c r="Q56" i="35" s="1"/>
  <c r="T46" i="6"/>
  <c r="S46" i="6"/>
  <c r="U46" i="6" s="1"/>
  <c r="R46" i="6"/>
  <c r="L46" i="6" s="1"/>
  <c r="V45" i="6"/>
  <c r="P55" i="35" s="1"/>
  <c r="Q55" i="35" s="1"/>
  <c r="T45" i="6"/>
  <c r="S45" i="6"/>
  <c r="U45" i="6" s="1"/>
  <c r="R45" i="6"/>
  <c r="H45" i="6" s="1"/>
  <c r="V44" i="6"/>
  <c r="P54" i="35" s="1"/>
  <c r="Q54" i="35" s="1"/>
  <c r="T44" i="6"/>
  <c r="S44" i="6"/>
  <c r="U44" i="6" s="1"/>
  <c r="R44" i="6"/>
  <c r="H44" i="6" s="1"/>
  <c r="V43" i="6"/>
  <c r="W43" i="6" s="1"/>
  <c r="X43" i="6" s="1"/>
  <c r="Y43" i="6" s="1"/>
  <c r="T43" i="6"/>
  <c r="S43" i="6"/>
  <c r="U43" i="6" s="1"/>
  <c r="R43" i="6"/>
  <c r="I43" i="6" s="1"/>
  <c r="V42" i="6"/>
  <c r="W42" i="6" s="1"/>
  <c r="X42" i="6" s="1"/>
  <c r="Y42" i="6" s="1"/>
  <c r="T42" i="6"/>
  <c r="S42" i="6"/>
  <c r="U42" i="6" s="1"/>
  <c r="R42" i="6"/>
  <c r="H42" i="6" s="1"/>
  <c r="N40" i="6"/>
  <c r="N39" i="6"/>
  <c r="N38" i="6"/>
  <c r="N37" i="6"/>
  <c r="N36" i="6"/>
  <c r="N35" i="6"/>
  <c r="N34" i="6"/>
  <c r="N33" i="6"/>
  <c r="N32" i="6"/>
  <c r="N31" i="6"/>
  <c r="N30" i="6"/>
  <c r="N29" i="6"/>
  <c r="N28" i="6"/>
  <c r="N27" i="6"/>
  <c r="N26" i="6"/>
  <c r="N25" i="6"/>
  <c r="N24" i="6"/>
  <c r="N23" i="6"/>
  <c r="N22" i="6"/>
  <c r="N21" i="6"/>
  <c r="N20" i="6"/>
  <c r="N19" i="6"/>
  <c r="N18" i="6"/>
  <c r="N17" i="6"/>
  <c r="N16" i="6"/>
  <c r="N13" i="6"/>
  <c r="N12" i="6"/>
  <c r="N11" i="6"/>
  <c r="N10" i="6"/>
  <c r="N9" i="6"/>
  <c r="M7" i="6"/>
  <c r="M14" i="6" s="1"/>
  <c r="L7" i="6"/>
  <c r="L14" i="6" s="1"/>
  <c r="K7" i="6"/>
  <c r="K14" i="6" s="1"/>
  <c r="J7" i="6"/>
  <c r="J14" i="6" s="1"/>
  <c r="I7" i="6"/>
  <c r="I14" i="6" s="1"/>
  <c r="H7" i="6"/>
  <c r="H14" i="6" s="1"/>
  <c r="G7" i="6"/>
  <c r="G14" i="6" s="1"/>
  <c r="F7" i="6"/>
  <c r="F14" i="6" s="1"/>
  <c r="E7" i="6"/>
  <c r="E14" i="6" s="1"/>
  <c r="D7" i="6"/>
  <c r="D14" i="6" s="1"/>
  <c r="C7" i="6"/>
  <c r="C14" i="6" s="1"/>
  <c r="B7" i="6"/>
  <c r="A7" i="6"/>
  <c r="N5" i="6"/>
  <c r="B4" i="6"/>
  <c r="C4" i="29" s="1"/>
  <c r="B1" i="6"/>
  <c r="D9" i="5"/>
  <c r="P3" i="5"/>
  <c r="E2" i="5"/>
  <c r="E9" i="5" s="1"/>
  <c r="M12" i="4"/>
  <c r="L12" i="4"/>
  <c r="M11" i="4"/>
  <c r="L11" i="4"/>
  <c r="M10" i="4"/>
  <c r="L10" i="4"/>
  <c r="M9" i="4"/>
  <c r="L9" i="4"/>
  <c r="M8" i="4"/>
  <c r="L8" i="4"/>
  <c r="M7" i="4"/>
  <c r="L7" i="4"/>
  <c r="M6" i="4"/>
  <c r="L6" i="4"/>
  <c r="N5" i="4"/>
  <c r="M5" i="4"/>
  <c r="L5" i="4"/>
  <c r="N4" i="4"/>
  <c r="M4" i="4"/>
  <c r="L4" i="4"/>
  <c r="O3" i="4"/>
  <c r="N3" i="4"/>
  <c r="M3" i="4"/>
  <c r="L3" i="4"/>
  <c r="N2" i="4"/>
  <c r="M2" i="4"/>
  <c r="L2" i="4"/>
  <c r="P62" i="14" l="1"/>
  <c r="Q62" i="14" s="1"/>
  <c r="P62" i="35"/>
  <c r="Q62" i="35" s="1"/>
  <c r="F27" i="32"/>
  <c r="F27" i="35"/>
  <c r="N27" i="32"/>
  <c r="N27" i="35"/>
  <c r="I77" i="35"/>
  <c r="D77" i="35"/>
  <c r="H27" i="32"/>
  <c r="H27" i="35"/>
  <c r="G27" i="32"/>
  <c r="G27" i="35"/>
  <c r="I79" i="35"/>
  <c r="H79" i="35"/>
  <c r="G79" i="35"/>
  <c r="N79" i="35"/>
  <c r="F79" i="35"/>
  <c r="M79" i="35"/>
  <c r="E79" i="35"/>
  <c r="L79" i="35"/>
  <c r="D79" i="35"/>
  <c r="K79" i="35"/>
  <c r="J79" i="35"/>
  <c r="J27" i="32"/>
  <c r="J27" i="35"/>
  <c r="C27" i="32"/>
  <c r="C27" i="35"/>
  <c r="K27" i="32"/>
  <c r="K27" i="35"/>
  <c r="G16" i="35"/>
  <c r="N16" i="35"/>
  <c r="F16" i="35"/>
  <c r="M16" i="35"/>
  <c r="E16" i="35"/>
  <c r="C16" i="35"/>
  <c r="J16" i="35"/>
  <c r="L16" i="35"/>
  <c r="D16" i="35"/>
  <c r="K16" i="35"/>
  <c r="I16" i="35"/>
  <c r="H16" i="35"/>
  <c r="N76" i="35"/>
  <c r="D27" i="32"/>
  <c r="D27" i="35"/>
  <c r="L27" i="32"/>
  <c r="L27" i="35"/>
  <c r="C2" i="21"/>
  <c r="D21" i="35" s="1"/>
  <c r="D25" i="35" s="1"/>
  <c r="C53" i="35"/>
  <c r="C21" i="35"/>
  <c r="C25" i="35" s="1"/>
  <c r="C3" i="35"/>
  <c r="C48" i="12"/>
  <c r="C49" i="30"/>
  <c r="C49" i="12"/>
  <c r="C49" i="31"/>
  <c r="C48" i="31"/>
  <c r="I48" i="31" s="1"/>
  <c r="C48" i="30"/>
  <c r="D2" i="21"/>
  <c r="E3" i="32" s="1"/>
  <c r="E85" i="32" s="1"/>
  <c r="D6" i="12"/>
  <c r="D46" i="12" s="1"/>
  <c r="C21" i="14"/>
  <c r="E48" i="6"/>
  <c r="C27" i="22"/>
  <c r="Q27" i="22" s="1"/>
  <c r="U44" i="22"/>
  <c r="J79" i="14"/>
  <c r="M16" i="14"/>
  <c r="C5" i="22"/>
  <c r="Q5" i="22" s="1"/>
  <c r="R44" i="22"/>
  <c r="J7" i="7"/>
  <c r="B72" i="17" s="1"/>
  <c r="T44" i="22"/>
  <c r="AB44" i="22"/>
  <c r="W53" i="6"/>
  <c r="T63" i="35" s="1"/>
  <c r="P63" i="32"/>
  <c r="Q63" i="32" s="1"/>
  <c r="P63" i="14"/>
  <c r="Q63" i="14" s="1"/>
  <c r="W55" i="6"/>
  <c r="T65" i="35" s="1"/>
  <c r="P65" i="32"/>
  <c r="Q65" i="32" s="1"/>
  <c r="C78" i="32"/>
  <c r="C78" i="14"/>
  <c r="O78" i="14" s="1"/>
  <c r="P78" i="14" s="1"/>
  <c r="I38" i="17" s="1"/>
  <c r="B50" i="17"/>
  <c r="B23" i="17"/>
  <c r="C24" i="17" s="1"/>
  <c r="C47" i="30"/>
  <c r="I47" i="30" s="1"/>
  <c r="C47" i="31"/>
  <c r="P6" i="21"/>
  <c r="J6" i="20"/>
  <c r="C16" i="14"/>
  <c r="J27" i="14"/>
  <c r="B46" i="17"/>
  <c r="B44" i="17"/>
  <c r="B17" i="17"/>
  <c r="C18" i="17" s="1"/>
  <c r="I15" i="8"/>
  <c r="I16" i="8" s="1"/>
  <c r="J16" i="32"/>
  <c r="I16" i="32"/>
  <c r="H16" i="32"/>
  <c r="G16" i="32"/>
  <c r="N16" i="32"/>
  <c r="F16" i="32"/>
  <c r="M16" i="32"/>
  <c r="E16" i="32"/>
  <c r="L16" i="32"/>
  <c r="D16" i="32"/>
  <c r="L16" i="14"/>
  <c r="D16" i="14"/>
  <c r="K16" i="32"/>
  <c r="C16" i="32"/>
  <c r="E16" i="14"/>
  <c r="N16" i="14"/>
  <c r="K27" i="14"/>
  <c r="W44" i="6"/>
  <c r="T54" i="35" s="1"/>
  <c r="P54" i="32"/>
  <c r="Q54" i="32" s="1"/>
  <c r="W46" i="6"/>
  <c r="T56" i="35" s="1"/>
  <c r="P56" i="32"/>
  <c r="Q56" i="32" s="1"/>
  <c r="P56" i="14"/>
  <c r="Q56" i="14" s="1"/>
  <c r="I27" i="32"/>
  <c r="I27" i="14"/>
  <c r="F16" i="14"/>
  <c r="L27" i="14"/>
  <c r="P65" i="14"/>
  <c r="Q65" i="14" s="1"/>
  <c r="W48" i="6"/>
  <c r="T58" i="35" s="1"/>
  <c r="P58" i="32"/>
  <c r="Q58" i="32" s="1"/>
  <c r="W50" i="6"/>
  <c r="T60" i="35" s="1"/>
  <c r="P60" i="32"/>
  <c r="Q60" i="32" s="1"/>
  <c r="P60" i="14"/>
  <c r="Q60" i="14" s="1"/>
  <c r="B25" i="17"/>
  <c r="C26" i="17" s="1"/>
  <c r="B52" i="17"/>
  <c r="G16" i="14"/>
  <c r="C27" i="14"/>
  <c r="N27" i="14"/>
  <c r="P58" i="14"/>
  <c r="Q58" i="14" s="1"/>
  <c r="W52" i="6"/>
  <c r="T62" i="35" s="1"/>
  <c r="P62" i="32"/>
  <c r="Q62" i="32" s="1"/>
  <c r="W54" i="6"/>
  <c r="T64" i="35" s="1"/>
  <c r="P64" i="32"/>
  <c r="Q64" i="32" s="1"/>
  <c r="P64" i="14"/>
  <c r="Q64" i="14" s="1"/>
  <c r="B13" i="17"/>
  <c r="C14" i="17" s="1"/>
  <c r="B40" i="17"/>
  <c r="H16" i="14"/>
  <c r="D27" i="14"/>
  <c r="I32" i="8"/>
  <c r="I33" i="8" s="1"/>
  <c r="H33" i="8" s="1"/>
  <c r="C47" i="12"/>
  <c r="I16" i="14"/>
  <c r="F27" i="14"/>
  <c r="P54" i="14"/>
  <c r="Q54" i="14" s="1"/>
  <c r="B42" i="17"/>
  <c r="W45" i="6"/>
  <c r="T55" i="35" s="1"/>
  <c r="P55" i="32"/>
  <c r="Q55" i="32" s="1"/>
  <c r="P55" i="14"/>
  <c r="Q55" i="14" s="1"/>
  <c r="W47" i="6"/>
  <c r="T57" i="35" s="1"/>
  <c r="P57" i="32"/>
  <c r="Q57" i="32" s="1"/>
  <c r="P57" i="14"/>
  <c r="Q57" i="14" s="1"/>
  <c r="B21" i="17"/>
  <c r="C22" i="17" s="1"/>
  <c r="B48" i="17"/>
  <c r="G79" i="32"/>
  <c r="N79" i="32"/>
  <c r="F79" i="32"/>
  <c r="M79" i="32"/>
  <c r="E79" i="32"/>
  <c r="L79" i="32"/>
  <c r="D79" i="32"/>
  <c r="K79" i="32"/>
  <c r="J79" i="32"/>
  <c r="I79" i="32"/>
  <c r="H79" i="32"/>
  <c r="I79" i="14"/>
  <c r="H79" i="14"/>
  <c r="G79" i="14"/>
  <c r="N79" i="14"/>
  <c r="F79" i="14"/>
  <c r="M79" i="14"/>
  <c r="E79" i="14"/>
  <c r="L79" i="14"/>
  <c r="D79" i="14"/>
  <c r="K79" i="14"/>
  <c r="E27" i="32"/>
  <c r="E27" i="14"/>
  <c r="M27" i="32"/>
  <c r="M27" i="14"/>
  <c r="J16" i="14"/>
  <c r="G27" i="14"/>
  <c r="W49" i="6"/>
  <c r="T59" i="35" s="1"/>
  <c r="P59" i="32"/>
  <c r="Q59" i="32" s="1"/>
  <c r="P59" i="14"/>
  <c r="Q59" i="14" s="1"/>
  <c r="W51" i="6"/>
  <c r="T61" i="35" s="1"/>
  <c r="P61" i="32"/>
  <c r="Q61" i="32" s="1"/>
  <c r="P61" i="14"/>
  <c r="Q61" i="14" s="1"/>
  <c r="H14" i="8"/>
  <c r="E15" i="8" s="1"/>
  <c r="C4" i="9"/>
  <c r="K16" i="14"/>
  <c r="H27" i="14"/>
  <c r="V44" i="22"/>
  <c r="X44" i="22"/>
  <c r="E10" i="16"/>
  <c r="C34" i="17"/>
  <c r="C7" i="21"/>
  <c r="R52" i="32" s="1"/>
  <c r="E44" i="16" s="1"/>
  <c r="D6" i="30"/>
  <c r="D25" i="30" s="1"/>
  <c r="D6" i="31"/>
  <c r="D25" i="31" s="1"/>
  <c r="C3" i="32"/>
  <c r="E6" i="31"/>
  <c r="E46" i="31" s="1"/>
  <c r="I48" i="30"/>
  <c r="M56" i="30"/>
  <c r="C53" i="32"/>
  <c r="C21" i="32"/>
  <c r="C25" i="32" s="1"/>
  <c r="G36" i="30"/>
  <c r="D21" i="32"/>
  <c r="D25" i="32" s="1"/>
  <c r="D52" i="6"/>
  <c r="I66" i="32"/>
  <c r="H52" i="6"/>
  <c r="G51" i="6"/>
  <c r="L67" i="14"/>
  <c r="D37" i="30"/>
  <c r="D58" i="30" s="1"/>
  <c r="G37" i="30"/>
  <c r="M48" i="6"/>
  <c r="I52" i="6"/>
  <c r="G35" i="30"/>
  <c r="J36" i="30"/>
  <c r="J26" i="31"/>
  <c r="L52" i="6"/>
  <c r="H35" i="30"/>
  <c r="O36" i="30"/>
  <c r="O57" i="30" s="1"/>
  <c r="E67" i="14"/>
  <c r="L35" i="30"/>
  <c r="L56" i="30" s="1"/>
  <c r="C52" i="6"/>
  <c r="G54" i="6"/>
  <c r="I50" i="30"/>
  <c r="H31" i="8"/>
  <c r="E31" i="8" s="1"/>
  <c r="E30" i="8" s="1"/>
  <c r="H30" i="8" s="1"/>
  <c r="I51" i="30"/>
  <c r="D36" i="30"/>
  <c r="K42" i="6"/>
  <c r="F52" i="6"/>
  <c r="M53" i="6"/>
  <c r="F36" i="30"/>
  <c r="J37" i="30"/>
  <c r="J58" i="30" s="1"/>
  <c r="Z44" i="22"/>
  <c r="I27" i="12"/>
  <c r="AC32" i="22"/>
  <c r="AC33" i="22"/>
  <c r="AC35" i="22"/>
  <c r="AC36" i="22"/>
  <c r="I49" i="30"/>
  <c r="I53" i="30"/>
  <c r="F35" i="30"/>
  <c r="M57" i="30"/>
  <c r="I36" i="12"/>
  <c r="M67" i="14"/>
  <c r="I35" i="30"/>
  <c r="I56" i="30" s="1"/>
  <c r="I39" i="30"/>
  <c r="I60" i="30" s="1"/>
  <c r="J30" i="31"/>
  <c r="J51" i="31" s="1"/>
  <c r="J33" i="31"/>
  <c r="J54" i="31" s="1"/>
  <c r="G39" i="30"/>
  <c r="G60" i="30" s="1"/>
  <c r="J66" i="14"/>
  <c r="J35" i="30"/>
  <c r="J56" i="30" s="1"/>
  <c r="H36" i="30"/>
  <c r="O37" i="30"/>
  <c r="J27" i="31"/>
  <c r="J48" i="31" s="1"/>
  <c r="O78" i="32"/>
  <c r="P78" i="32" s="1"/>
  <c r="C25" i="14"/>
  <c r="I55" i="12"/>
  <c r="O35" i="30"/>
  <c r="J31" i="31"/>
  <c r="J52" i="31" s="1"/>
  <c r="J34" i="31"/>
  <c r="D35" i="30"/>
  <c r="J38" i="30"/>
  <c r="J42" i="6"/>
  <c r="L53" i="6"/>
  <c r="O22" i="14"/>
  <c r="N37" i="30"/>
  <c r="I38" i="30"/>
  <c r="F39" i="30"/>
  <c r="F60" i="30" s="1"/>
  <c r="L40" i="30"/>
  <c r="L61" i="30" s="1"/>
  <c r="J67" i="32"/>
  <c r="O71" i="32"/>
  <c r="E62" i="16" s="1"/>
  <c r="N40" i="30"/>
  <c r="N61" i="30" s="1"/>
  <c r="U22" i="22"/>
  <c r="G90" i="35" s="1"/>
  <c r="AC11" i="22"/>
  <c r="AC19" i="22"/>
  <c r="I52" i="30"/>
  <c r="N35" i="30"/>
  <c r="I36" i="30"/>
  <c r="F37" i="30"/>
  <c r="L38" i="30"/>
  <c r="H39" i="30"/>
  <c r="H60" i="30" s="1"/>
  <c r="D40" i="30"/>
  <c r="D61" i="30" s="1"/>
  <c r="O40" i="30"/>
  <c r="O61" i="30" s="1"/>
  <c r="J28" i="31"/>
  <c r="C53" i="6"/>
  <c r="N38" i="30"/>
  <c r="F40" i="30"/>
  <c r="F61" i="30" s="1"/>
  <c r="C67" i="32"/>
  <c r="L50" i="12"/>
  <c r="B50" i="6"/>
  <c r="D53" i="6"/>
  <c r="C30" i="7"/>
  <c r="L36" i="30"/>
  <c r="H37" i="30"/>
  <c r="D38" i="30"/>
  <c r="O38" i="30"/>
  <c r="O59" i="30" s="1"/>
  <c r="J39" i="30"/>
  <c r="J60" i="30" s="1"/>
  <c r="G40" i="30"/>
  <c r="G61" i="30" s="1"/>
  <c r="E67" i="32"/>
  <c r="K50" i="6"/>
  <c r="E53" i="6"/>
  <c r="N36" i="30"/>
  <c r="I37" i="30"/>
  <c r="F38" i="30"/>
  <c r="L39" i="30"/>
  <c r="L60" i="30" s="1"/>
  <c r="H40" i="30"/>
  <c r="H61" i="30" s="1"/>
  <c r="J29" i="31"/>
  <c r="J50" i="31" s="1"/>
  <c r="K67" i="32"/>
  <c r="G38" i="30"/>
  <c r="N39" i="30"/>
  <c r="N60" i="30" s="1"/>
  <c r="I40" i="30"/>
  <c r="I61" i="30" s="1"/>
  <c r="J32" i="31"/>
  <c r="J53" i="31" s="1"/>
  <c r="O22" i="32"/>
  <c r="M67" i="32"/>
  <c r="B42" i="6"/>
  <c r="G53" i="6"/>
  <c r="C42" i="6"/>
  <c r="H53" i="6"/>
  <c r="J11" i="7"/>
  <c r="B80" i="17" s="1"/>
  <c r="O40" i="29"/>
  <c r="L37" i="30"/>
  <c r="H38" i="30"/>
  <c r="D39" i="30"/>
  <c r="D60" i="30" s="1"/>
  <c r="O39" i="30"/>
  <c r="J40" i="30"/>
  <c r="J66" i="32"/>
  <c r="D67" i="32"/>
  <c r="L67" i="32"/>
  <c r="D66" i="32"/>
  <c r="L66" i="32"/>
  <c r="F67" i="32"/>
  <c r="N67" i="32"/>
  <c r="E66" i="32"/>
  <c r="M66" i="32"/>
  <c r="G67" i="32"/>
  <c r="C66" i="32"/>
  <c r="F66" i="32"/>
  <c r="N66" i="32"/>
  <c r="H67" i="32"/>
  <c r="C86" i="32"/>
  <c r="G66" i="32"/>
  <c r="I67" i="32"/>
  <c r="K66" i="32"/>
  <c r="H66" i="32"/>
  <c r="J39" i="31"/>
  <c r="I39" i="31"/>
  <c r="I60" i="31" s="1"/>
  <c r="H39" i="31"/>
  <c r="H60" i="31" s="1"/>
  <c r="O39" i="31"/>
  <c r="O60" i="31" s="1"/>
  <c r="G39" i="31"/>
  <c r="G60" i="31" s="1"/>
  <c r="N39" i="31"/>
  <c r="N60" i="31" s="1"/>
  <c r="F39" i="31"/>
  <c r="F60" i="31" s="1"/>
  <c r="M39" i="31"/>
  <c r="M60" i="31" s="1"/>
  <c r="E39" i="31"/>
  <c r="E60" i="31" s="1"/>
  <c r="L39" i="31"/>
  <c r="L60" i="31" s="1"/>
  <c r="D39" i="31"/>
  <c r="J36" i="31"/>
  <c r="J57" i="31" s="1"/>
  <c r="I36" i="31"/>
  <c r="I57" i="31" s="1"/>
  <c r="H36" i="31"/>
  <c r="H57" i="31" s="1"/>
  <c r="O36" i="31"/>
  <c r="O57" i="31" s="1"/>
  <c r="G36" i="31"/>
  <c r="G57" i="31" s="1"/>
  <c r="N36" i="31"/>
  <c r="N57" i="31" s="1"/>
  <c r="F36" i="31"/>
  <c r="F57" i="31" s="1"/>
  <c r="M36" i="31"/>
  <c r="M57" i="31" s="1"/>
  <c r="E36" i="31"/>
  <c r="E57" i="31" s="1"/>
  <c r="L36" i="31"/>
  <c r="L57" i="31" s="1"/>
  <c r="D36" i="31"/>
  <c r="K39" i="31"/>
  <c r="K60" i="31" s="1"/>
  <c r="K57" i="31"/>
  <c r="J37" i="31"/>
  <c r="I37" i="31"/>
  <c r="I58" i="31" s="1"/>
  <c r="H37" i="31"/>
  <c r="H58" i="31" s="1"/>
  <c r="O37" i="31"/>
  <c r="O58" i="31" s="1"/>
  <c r="G37" i="31"/>
  <c r="G58" i="31" s="1"/>
  <c r="N37" i="31"/>
  <c r="N58" i="31" s="1"/>
  <c r="F37" i="31"/>
  <c r="F58" i="31" s="1"/>
  <c r="M37" i="31"/>
  <c r="M58" i="31" s="1"/>
  <c r="E37" i="31"/>
  <c r="L37" i="31"/>
  <c r="L58" i="31" s="1"/>
  <c r="D37" i="31"/>
  <c r="K37" i="31"/>
  <c r="K58" i="31" s="1"/>
  <c r="J40" i="31"/>
  <c r="J61" i="31" s="1"/>
  <c r="I40" i="31"/>
  <c r="I61" i="31" s="1"/>
  <c r="H40" i="31"/>
  <c r="H61" i="31" s="1"/>
  <c r="O40" i="31"/>
  <c r="O61" i="31" s="1"/>
  <c r="G40" i="31"/>
  <c r="G61" i="31" s="1"/>
  <c r="N40" i="31"/>
  <c r="N61" i="31" s="1"/>
  <c r="F40" i="31"/>
  <c r="F61" i="31" s="1"/>
  <c r="M40" i="31"/>
  <c r="M61" i="31" s="1"/>
  <c r="E40" i="31"/>
  <c r="E61" i="31" s="1"/>
  <c r="L40" i="31"/>
  <c r="L61" i="31" s="1"/>
  <c r="D40" i="31"/>
  <c r="D61" i="31" s="1"/>
  <c r="I49" i="31"/>
  <c r="J35" i="31"/>
  <c r="J56" i="31" s="1"/>
  <c r="I35" i="31"/>
  <c r="I56" i="31" s="1"/>
  <c r="H35" i="31"/>
  <c r="H56" i="31" s="1"/>
  <c r="O35" i="31"/>
  <c r="O56" i="31" s="1"/>
  <c r="G35" i="31"/>
  <c r="G56" i="31" s="1"/>
  <c r="N35" i="31"/>
  <c r="N56" i="31" s="1"/>
  <c r="F35" i="31"/>
  <c r="F56" i="31" s="1"/>
  <c r="M35" i="31"/>
  <c r="M56" i="31" s="1"/>
  <c r="E35" i="31"/>
  <c r="E56" i="31" s="1"/>
  <c r="L35" i="31"/>
  <c r="L56" i="31" s="1"/>
  <c r="D35" i="31"/>
  <c r="K35" i="31"/>
  <c r="K56" i="31" s="1"/>
  <c r="J38" i="31"/>
  <c r="J59" i="31" s="1"/>
  <c r="I38" i="31"/>
  <c r="I59" i="31" s="1"/>
  <c r="H38" i="31"/>
  <c r="H59" i="31" s="1"/>
  <c r="O38" i="31"/>
  <c r="O59" i="31" s="1"/>
  <c r="G38" i="31"/>
  <c r="G59" i="31" s="1"/>
  <c r="N38" i="31"/>
  <c r="N59" i="31" s="1"/>
  <c r="F38" i="31"/>
  <c r="F59" i="31" s="1"/>
  <c r="M38" i="31"/>
  <c r="M59" i="31" s="1"/>
  <c r="E38" i="31"/>
  <c r="E59" i="31" s="1"/>
  <c r="L38" i="31"/>
  <c r="L59" i="31" s="1"/>
  <c r="D38" i="31"/>
  <c r="D59" i="31" s="1"/>
  <c r="P23" i="31"/>
  <c r="Q19" i="31" s="1"/>
  <c r="K26" i="31"/>
  <c r="K27" i="31"/>
  <c r="K48" i="31" s="1"/>
  <c r="K28" i="31"/>
  <c r="K29" i="31"/>
  <c r="K50" i="31" s="1"/>
  <c r="K30" i="31"/>
  <c r="K51" i="31" s="1"/>
  <c r="K31" i="31"/>
  <c r="K52" i="31" s="1"/>
  <c r="K32" i="31"/>
  <c r="K53" i="31" s="1"/>
  <c r="K33" i="31"/>
  <c r="K54" i="31" s="1"/>
  <c r="K34" i="31"/>
  <c r="K55" i="31" s="1"/>
  <c r="D26" i="31"/>
  <c r="L26" i="31"/>
  <c r="D27" i="31"/>
  <c r="L27" i="31"/>
  <c r="L48" i="31" s="1"/>
  <c r="D28" i="31"/>
  <c r="D49" i="31" s="1"/>
  <c r="L28" i="31"/>
  <c r="L49" i="31" s="1"/>
  <c r="D29" i="31"/>
  <c r="L29" i="31"/>
  <c r="L50" i="31" s="1"/>
  <c r="D30" i="31"/>
  <c r="L30" i="31"/>
  <c r="L51" i="31" s="1"/>
  <c r="D31" i="31"/>
  <c r="L31" i="31"/>
  <c r="L52" i="31" s="1"/>
  <c r="D32" i="31"/>
  <c r="L32" i="31"/>
  <c r="L53" i="31" s="1"/>
  <c r="D33" i="31"/>
  <c r="L33" i="31"/>
  <c r="L54" i="31" s="1"/>
  <c r="D34" i="31"/>
  <c r="M34" i="31"/>
  <c r="M55" i="31" s="1"/>
  <c r="E26" i="31"/>
  <c r="M26" i="31"/>
  <c r="E27" i="31"/>
  <c r="M27" i="31"/>
  <c r="E28" i="31"/>
  <c r="E49" i="31" s="1"/>
  <c r="M28" i="31"/>
  <c r="M49" i="31" s="1"/>
  <c r="E29" i="31"/>
  <c r="E50" i="31" s="1"/>
  <c r="M29" i="31"/>
  <c r="M50" i="31" s="1"/>
  <c r="E30" i="31"/>
  <c r="E51" i="31" s="1"/>
  <c r="M30" i="31"/>
  <c r="M51" i="31" s="1"/>
  <c r="E31" i="31"/>
  <c r="E52" i="31" s="1"/>
  <c r="M31" i="31"/>
  <c r="M52" i="31" s="1"/>
  <c r="E32" i="31"/>
  <c r="M32" i="31"/>
  <c r="M53" i="31" s="1"/>
  <c r="E33" i="31"/>
  <c r="E54" i="31" s="1"/>
  <c r="M33" i="31"/>
  <c r="M54" i="31" s="1"/>
  <c r="E34" i="31"/>
  <c r="E55" i="31" s="1"/>
  <c r="N34" i="31"/>
  <c r="N55" i="31" s="1"/>
  <c r="F26" i="31"/>
  <c r="N26" i="31"/>
  <c r="F27" i="31"/>
  <c r="N27" i="31"/>
  <c r="N48" i="31" s="1"/>
  <c r="F28" i="31"/>
  <c r="N28" i="31"/>
  <c r="F29" i="31"/>
  <c r="F50" i="31" s="1"/>
  <c r="N29" i="31"/>
  <c r="N50" i="31" s="1"/>
  <c r="F30" i="31"/>
  <c r="F51" i="31" s="1"/>
  <c r="N30" i="31"/>
  <c r="N51" i="31" s="1"/>
  <c r="F31" i="31"/>
  <c r="F52" i="31" s="1"/>
  <c r="N31" i="31"/>
  <c r="N52" i="31" s="1"/>
  <c r="F32" i="31"/>
  <c r="F53" i="31" s="1"/>
  <c r="N32" i="31"/>
  <c r="N53" i="31" s="1"/>
  <c r="F33" i="31"/>
  <c r="F54" i="31" s="1"/>
  <c r="N33" i="31"/>
  <c r="N54" i="31" s="1"/>
  <c r="F34" i="31"/>
  <c r="F55" i="31" s="1"/>
  <c r="O34" i="31"/>
  <c r="O55" i="31" s="1"/>
  <c r="G26" i="31"/>
  <c r="O26" i="31"/>
  <c r="G27" i="31"/>
  <c r="G48" i="31" s="1"/>
  <c r="O27" i="31"/>
  <c r="G28" i="31"/>
  <c r="O28" i="31"/>
  <c r="O49" i="31" s="1"/>
  <c r="G29" i="31"/>
  <c r="G50" i="31" s="1"/>
  <c r="O29" i="31"/>
  <c r="O50" i="31" s="1"/>
  <c r="G30" i="31"/>
  <c r="G51" i="31" s="1"/>
  <c r="O30" i="31"/>
  <c r="O51" i="31" s="1"/>
  <c r="G31" i="31"/>
  <c r="G52" i="31" s="1"/>
  <c r="O31" i="31"/>
  <c r="O52" i="31" s="1"/>
  <c r="G32" i="31"/>
  <c r="G53" i="31" s="1"/>
  <c r="O32" i="31"/>
  <c r="O53" i="31" s="1"/>
  <c r="G33" i="31"/>
  <c r="G54" i="31" s="1"/>
  <c r="O33" i="31"/>
  <c r="O54" i="31" s="1"/>
  <c r="G34" i="31"/>
  <c r="G55" i="31" s="1"/>
  <c r="I53" i="31"/>
  <c r="I54" i="31"/>
  <c r="I55" i="31"/>
  <c r="J58" i="31"/>
  <c r="J60" i="31"/>
  <c r="H26" i="31"/>
  <c r="H27" i="31"/>
  <c r="H28" i="31"/>
  <c r="H49" i="31" s="1"/>
  <c r="H29" i="31"/>
  <c r="H50" i="31" s="1"/>
  <c r="H30" i="31"/>
  <c r="H51" i="31" s="1"/>
  <c r="H31" i="31"/>
  <c r="H52" i="31" s="1"/>
  <c r="H32" i="31"/>
  <c r="H53" i="31" s="1"/>
  <c r="H33" i="31"/>
  <c r="H54" i="31" s="1"/>
  <c r="H34" i="31"/>
  <c r="H55" i="31" s="1"/>
  <c r="I50" i="31"/>
  <c r="I51" i="31"/>
  <c r="I52" i="31"/>
  <c r="J55" i="31"/>
  <c r="K59" i="31"/>
  <c r="K61" i="31"/>
  <c r="D60" i="31"/>
  <c r="K33" i="30"/>
  <c r="J26" i="30"/>
  <c r="J27" i="30"/>
  <c r="J28" i="30"/>
  <c r="J29" i="30"/>
  <c r="J30" i="30"/>
  <c r="J31" i="30"/>
  <c r="J32" i="30"/>
  <c r="J33" i="30"/>
  <c r="J34" i="30"/>
  <c r="K35" i="30"/>
  <c r="K36" i="30"/>
  <c r="K37" i="30"/>
  <c r="K38" i="30"/>
  <c r="K39" i="30"/>
  <c r="K60" i="30" s="1"/>
  <c r="K40" i="30"/>
  <c r="K61" i="30" s="1"/>
  <c r="L55" i="30"/>
  <c r="D56" i="30"/>
  <c r="D57" i="30"/>
  <c r="M58" i="30"/>
  <c r="M59" i="30"/>
  <c r="M60" i="30"/>
  <c r="M61" i="30"/>
  <c r="P23" i="30"/>
  <c r="Q10" i="30" s="1"/>
  <c r="D26" i="30"/>
  <c r="L26" i="30"/>
  <c r="D27" i="30"/>
  <c r="L27" i="30"/>
  <c r="D28" i="30"/>
  <c r="L28" i="30"/>
  <c r="D29" i="30"/>
  <c r="L29" i="30"/>
  <c r="D30" i="30"/>
  <c r="L30" i="30"/>
  <c r="D31" i="30"/>
  <c r="L31" i="30"/>
  <c r="D32" i="30"/>
  <c r="L32" i="30"/>
  <c r="D33" i="30"/>
  <c r="L33" i="30"/>
  <c r="D34" i="30"/>
  <c r="M34" i="30"/>
  <c r="E35" i="30"/>
  <c r="E36" i="30"/>
  <c r="E37" i="30"/>
  <c r="E38" i="30"/>
  <c r="E39" i="30"/>
  <c r="E60" i="30" s="1"/>
  <c r="E40" i="30"/>
  <c r="E61" i="30" s="1"/>
  <c r="G59" i="30"/>
  <c r="O60" i="30"/>
  <c r="K27" i="30"/>
  <c r="K30" i="30"/>
  <c r="E26" i="30"/>
  <c r="M26" i="30"/>
  <c r="E27" i="30"/>
  <c r="M27" i="30"/>
  <c r="E28" i="30"/>
  <c r="M28" i="30"/>
  <c r="E29" i="30"/>
  <c r="M29" i="30"/>
  <c r="E30" i="30"/>
  <c r="M30" i="30"/>
  <c r="E31" i="30"/>
  <c r="M31" i="30"/>
  <c r="E32" i="30"/>
  <c r="M32" i="30"/>
  <c r="E33" i="30"/>
  <c r="M33" i="30"/>
  <c r="E34" i="30"/>
  <c r="N34" i="30"/>
  <c r="G57" i="30"/>
  <c r="F26" i="30"/>
  <c r="N26" i="30"/>
  <c r="F27" i="30"/>
  <c r="N27" i="30"/>
  <c r="F28" i="30"/>
  <c r="N28" i="30"/>
  <c r="F29" i="30"/>
  <c r="N29" i="30"/>
  <c r="F30" i="30"/>
  <c r="N30" i="30"/>
  <c r="F31" i="30"/>
  <c r="N31" i="30"/>
  <c r="F32" i="30"/>
  <c r="N32" i="30"/>
  <c r="F33" i="30"/>
  <c r="N33" i="30"/>
  <c r="F34" i="30"/>
  <c r="O34" i="30"/>
  <c r="H57" i="30"/>
  <c r="K26" i="30"/>
  <c r="K28" i="30"/>
  <c r="K29" i="30"/>
  <c r="K32" i="30"/>
  <c r="G26" i="30"/>
  <c r="O26" i="30"/>
  <c r="G27" i="30"/>
  <c r="O27" i="30"/>
  <c r="G28" i="30"/>
  <c r="O28" i="30"/>
  <c r="G29" i="30"/>
  <c r="O29" i="30"/>
  <c r="G30" i="30"/>
  <c r="O30" i="30"/>
  <c r="G31" i="30"/>
  <c r="O31" i="30"/>
  <c r="G32" i="30"/>
  <c r="O32" i="30"/>
  <c r="G33" i="30"/>
  <c r="O33" i="30"/>
  <c r="G34" i="30"/>
  <c r="I54" i="30"/>
  <c r="I55" i="30"/>
  <c r="J59" i="30"/>
  <c r="J61" i="30"/>
  <c r="K31" i="30"/>
  <c r="H26" i="30"/>
  <c r="H27" i="30"/>
  <c r="H28" i="30"/>
  <c r="H29" i="30"/>
  <c r="H30" i="30"/>
  <c r="H31" i="30"/>
  <c r="H32" i="30"/>
  <c r="H33" i="30"/>
  <c r="H34" i="30"/>
  <c r="K58" i="30"/>
  <c r="K34" i="30"/>
  <c r="I28" i="12"/>
  <c r="I35" i="12"/>
  <c r="I26" i="12"/>
  <c r="L58" i="12"/>
  <c r="J10" i="7"/>
  <c r="B78" i="17" s="1"/>
  <c r="J6" i="7"/>
  <c r="B70" i="17" s="1"/>
  <c r="I6" i="7"/>
  <c r="B41" i="17" s="1"/>
  <c r="I11" i="7"/>
  <c r="B51" i="17" s="1"/>
  <c r="C51" i="17" s="1"/>
  <c r="B79" i="17" s="1"/>
  <c r="I9" i="7"/>
  <c r="B47" i="17" s="1"/>
  <c r="C47" i="17" s="1"/>
  <c r="B75" i="17" s="1"/>
  <c r="I12" i="7"/>
  <c r="B53" i="17" s="1"/>
  <c r="C53" i="17" s="1"/>
  <c r="B81" i="17" s="1"/>
  <c r="K51" i="6"/>
  <c r="M52" i="6"/>
  <c r="C46" i="6"/>
  <c r="M51" i="6"/>
  <c r="B44" i="6"/>
  <c r="E45" i="6"/>
  <c r="F48" i="6"/>
  <c r="G52" i="6"/>
  <c r="E44" i="6"/>
  <c r="F45" i="6"/>
  <c r="I48" i="6"/>
  <c r="B51" i="6"/>
  <c r="I44" i="6"/>
  <c r="E51" i="6"/>
  <c r="G43" i="6"/>
  <c r="J44" i="6"/>
  <c r="F51" i="6"/>
  <c r="K52" i="6"/>
  <c r="C43" i="6"/>
  <c r="F44" i="6"/>
  <c r="B45" i="6"/>
  <c r="M44" i="6"/>
  <c r="I45" i="6"/>
  <c r="K46" i="6"/>
  <c r="J45" i="6"/>
  <c r="M45" i="6"/>
  <c r="J43" i="6"/>
  <c r="B47" i="6"/>
  <c r="B55" i="6"/>
  <c r="I5" i="7"/>
  <c r="B39" i="17" s="1"/>
  <c r="K30" i="7"/>
  <c r="I30" i="12"/>
  <c r="I38" i="12"/>
  <c r="V22" i="22"/>
  <c r="H90" i="35" s="1"/>
  <c r="AC8" i="22"/>
  <c r="AC12" i="22"/>
  <c r="AC20" i="22"/>
  <c r="S44" i="22"/>
  <c r="AA44" i="22"/>
  <c r="K43" i="6"/>
  <c r="C44" i="6"/>
  <c r="K44" i="6"/>
  <c r="C45" i="6"/>
  <c r="K45" i="6"/>
  <c r="F46" i="6"/>
  <c r="C47" i="6"/>
  <c r="G48" i="6"/>
  <c r="I53" i="6"/>
  <c r="C54" i="6"/>
  <c r="C55" i="6"/>
  <c r="J12" i="7"/>
  <c r="B82" i="17" s="1"/>
  <c r="I33" i="12"/>
  <c r="AC9" i="22"/>
  <c r="AC13" i="22"/>
  <c r="AC17" i="22"/>
  <c r="AC21" i="22"/>
  <c r="N7" i="6"/>
  <c r="N14" i="6" s="1"/>
  <c r="G42" i="6"/>
  <c r="B43" i="6"/>
  <c r="M43" i="6"/>
  <c r="D44" i="6"/>
  <c r="L44" i="6"/>
  <c r="D45" i="6"/>
  <c r="L45" i="6"/>
  <c r="G46" i="6"/>
  <c r="F47" i="6"/>
  <c r="H48" i="6"/>
  <c r="J51" i="6"/>
  <c r="B52" i="6"/>
  <c r="B53" i="6"/>
  <c r="K53" i="6"/>
  <c r="F54" i="6"/>
  <c r="F55" i="6"/>
  <c r="J8" i="7"/>
  <c r="B74" i="17" s="1"/>
  <c r="X10" i="7"/>
  <c r="O71" i="14"/>
  <c r="C62" i="16" s="1"/>
  <c r="X22" i="22"/>
  <c r="J90" i="35" s="1"/>
  <c r="AC14" i="22"/>
  <c r="G47" i="6"/>
  <c r="G55" i="6"/>
  <c r="O40" i="9"/>
  <c r="I31" i="12"/>
  <c r="I39" i="12"/>
  <c r="C67" i="14"/>
  <c r="Q22" i="22"/>
  <c r="Y22" i="22"/>
  <c r="K90" i="35" s="1"/>
  <c r="AC15" i="22"/>
  <c r="AC34" i="22"/>
  <c r="D43" i="6"/>
  <c r="I47" i="6"/>
  <c r="B48" i="6"/>
  <c r="J48" i="6"/>
  <c r="C50" i="6"/>
  <c r="I55" i="6"/>
  <c r="J9" i="7"/>
  <c r="B76" i="17" s="1"/>
  <c r="D25" i="7"/>
  <c r="C79" i="35" s="1"/>
  <c r="L49" i="12"/>
  <c r="L57" i="12"/>
  <c r="R22" i="22"/>
  <c r="D90" i="35" s="1"/>
  <c r="Z22" i="22"/>
  <c r="L90" i="35" s="1"/>
  <c r="AC16" i="22"/>
  <c r="E43" i="6"/>
  <c r="G44" i="6"/>
  <c r="G45" i="6"/>
  <c r="J47" i="6"/>
  <c r="C48" i="6"/>
  <c r="K48" i="6"/>
  <c r="G50" i="6"/>
  <c r="J55" i="6"/>
  <c r="I29" i="12"/>
  <c r="I37" i="12"/>
  <c r="L52" i="12"/>
  <c r="L60" i="12"/>
  <c r="I67" i="14"/>
  <c r="D8" i="17"/>
  <c r="S22" i="22"/>
  <c r="E90" i="35" s="1"/>
  <c r="AA22" i="22"/>
  <c r="M90" i="35" s="1"/>
  <c r="W22" i="22"/>
  <c r="I90" i="35" s="1"/>
  <c r="W44" i="22"/>
  <c r="F43" i="6"/>
  <c r="K47" i="6"/>
  <c r="D48" i="6"/>
  <c r="J50" i="6"/>
  <c r="C51" i="6"/>
  <c r="F53" i="6"/>
  <c r="K55" i="6"/>
  <c r="I7" i="7"/>
  <c r="B43" i="17" s="1"/>
  <c r="C43" i="17" s="1"/>
  <c r="B71" i="17" s="1"/>
  <c r="C72" i="17" s="1"/>
  <c r="I10" i="7"/>
  <c r="B49" i="17" s="1"/>
  <c r="C49" i="17" s="1"/>
  <c r="B77" i="17" s="1"/>
  <c r="I32" i="12"/>
  <c r="I40" i="12"/>
  <c r="I61" i="12" s="1"/>
  <c r="K67" i="14"/>
  <c r="T22" i="22"/>
  <c r="F90" i="35" s="1"/>
  <c r="AB22" i="22"/>
  <c r="N90" i="35" s="1"/>
  <c r="AC10" i="22"/>
  <c r="AC18" i="22"/>
  <c r="Q44" i="22"/>
  <c r="Y44" i="22"/>
  <c r="AC30" i="22"/>
  <c r="AC31" i="22"/>
  <c r="AC29" i="22"/>
  <c r="AC7" i="22"/>
  <c r="M12" i="20"/>
  <c r="O25" i="14"/>
  <c r="C86" i="14"/>
  <c r="D66" i="14"/>
  <c r="L66" i="14"/>
  <c r="F67" i="14"/>
  <c r="N67" i="14"/>
  <c r="E66" i="14"/>
  <c r="M66" i="14"/>
  <c r="G67" i="14"/>
  <c r="C66" i="14"/>
  <c r="F66" i="14"/>
  <c r="N66" i="14"/>
  <c r="H67" i="14"/>
  <c r="G66" i="14"/>
  <c r="H66" i="14"/>
  <c r="J67" i="14"/>
  <c r="K66" i="14"/>
  <c r="I66" i="14"/>
  <c r="D67" i="14"/>
  <c r="L48" i="12"/>
  <c r="L56" i="12"/>
  <c r="L51" i="12"/>
  <c r="L59" i="12"/>
  <c r="L41" i="12"/>
  <c r="L54" i="12"/>
  <c r="L55" i="12"/>
  <c r="L53" i="12"/>
  <c r="L61" i="12"/>
  <c r="P23" i="12"/>
  <c r="Q8" i="12" s="1"/>
  <c r="D25" i="12"/>
  <c r="E26" i="12"/>
  <c r="M26" i="12"/>
  <c r="E27" i="12"/>
  <c r="M27" i="12"/>
  <c r="E28" i="12"/>
  <c r="M28" i="12"/>
  <c r="E29" i="12"/>
  <c r="M29" i="12"/>
  <c r="M50" i="12" s="1"/>
  <c r="E30" i="12"/>
  <c r="M30" i="12"/>
  <c r="E31" i="12"/>
  <c r="M31" i="12"/>
  <c r="E32" i="12"/>
  <c r="M32" i="12"/>
  <c r="E33" i="12"/>
  <c r="M33" i="12"/>
  <c r="E34" i="12"/>
  <c r="M34" i="12"/>
  <c r="E35" i="12"/>
  <c r="E56" i="12" s="1"/>
  <c r="M35" i="12"/>
  <c r="E36" i="12"/>
  <c r="M36" i="12"/>
  <c r="E37" i="12"/>
  <c r="M37" i="12"/>
  <c r="E38" i="12"/>
  <c r="M38" i="12"/>
  <c r="E39" i="12"/>
  <c r="M39" i="12"/>
  <c r="M60" i="12" s="1"/>
  <c r="E40" i="12"/>
  <c r="E61" i="12" s="1"/>
  <c r="M40" i="12"/>
  <c r="M61" i="12" s="1"/>
  <c r="F26" i="12"/>
  <c r="N26" i="12"/>
  <c r="F27" i="12"/>
  <c r="N27" i="12"/>
  <c r="N48" i="12" s="1"/>
  <c r="F28" i="12"/>
  <c r="N28" i="12"/>
  <c r="F29" i="12"/>
  <c r="N29" i="12"/>
  <c r="N50" i="12" s="1"/>
  <c r="F30" i="12"/>
  <c r="N30" i="12"/>
  <c r="N51" i="12" s="1"/>
  <c r="F31" i="12"/>
  <c r="N31" i="12"/>
  <c r="N52" i="12" s="1"/>
  <c r="F32" i="12"/>
  <c r="N32" i="12"/>
  <c r="N53" i="12" s="1"/>
  <c r="F33" i="12"/>
  <c r="N33" i="12"/>
  <c r="N54" i="12" s="1"/>
  <c r="F34" i="12"/>
  <c r="N34" i="12"/>
  <c r="N55" i="12" s="1"/>
  <c r="F35" i="12"/>
  <c r="N35" i="12"/>
  <c r="N56" i="12" s="1"/>
  <c r="F36" i="12"/>
  <c r="N36" i="12"/>
  <c r="N57" i="12" s="1"/>
  <c r="F37" i="12"/>
  <c r="N37" i="12"/>
  <c r="N58" i="12" s="1"/>
  <c r="F38" i="12"/>
  <c r="N38" i="12"/>
  <c r="N59" i="12" s="1"/>
  <c r="F39" i="12"/>
  <c r="N39" i="12"/>
  <c r="N60" i="12" s="1"/>
  <c r="F40" i="12"/>
  <c r="F61" i="12" s="1"/>
  <c r="N40" i="12"/>
  <c r="N61" i="12" s="1"/>
  <c r="G26" i="12"/>
  <c r="O26" i="12"/>
  <c r="G27" i="12"/>
  <c r="O27" i="12"/>
  <c r="O48" i="12" s="1"/>
  <c r="G28" i="12"/>
  <c r="O28" i="12"/>
  <c r="O49" i="12" s="1"/>
  <c r="G29" i="12"/>
  <c r="O29" i="12"/>
  <c r="O50" i="12" s="1"/>
  <c r="G30" i="12"/>
  <c r="O30" i="12"/>
  <c r="O51" i="12" s="1"/>
  <c r="G31" i="12"/>
  <c r="O31" i="12"/>
  <c r="O52" i="12" s="1"/>
  <c r="G32" i="12"/>
  <c r="O32" i="12"/>
  <c r="O53" i="12" s="1"/>
  <c r="G33" i="12"/>
  <c r="O33" i="12"/>
  <c r="O54" i="12" s="1"/>
  <c r="G34" i="12"/>
  <c r="O34" i="12"/>
  <c r="O55" i="12" s="1"/>
  <c r="G35" i="12"/>
  <c r="O35" i="12"/>
  <c r="O56" i="12" s="1"/>
  <c r="G36" i="12"/>
  <c r="O36" i="12"/>
  <c r="O57" i="12" s="1"/>
  <c r="G37" i="12"/>
  <c r="O37" i="12"/>
  <c r="O58" i="12" s="1"/>
  <c r="G38" i="12"/>
  <c r="O38" i="12"/>
  <c r="O59" i="12" s="1"/>
  <c r="G39" i="12"/>
  <c r="O39" i="12"/>
  <c r="O60" i="12" s="1"/>
  <c r="G40" i="12"/>
  <c r="G61" i="12" s="1"/>
  <c r="O40" i="12"/>
  <c r="O61" i="12" s="1"/>
  <c r="H26" i="12"/>
  <c r="H27" i="12"/>
  <c r="H28" i="12"/>
  <c r="H29" i="12"/>
  <c r="H30" i="12"/>
  <c r="H31" i="12"/>
  <c r="H32" i="12"/>
  <c r="H33" i="12"/>
  <c r="H34" i="12"/>
  <c r="H35" i="12"/>
  <c r="H36" i="12"/>
  <c r="H37" i="12"/>
  <c r="H38" i="12"/>
  <c r="H39" i="12"/>
  <c r="H40" i="12"/>
  <c r="H61" i="12" s="1"/>
  <c r="J26" i="12"/>
  <c r="J27" i="12"/>
  <c r="J28" i="12"/>
  <c r="J29" i="12"/>
  <c r="J30" i="12"/>
  <c r="J31" i="12"/>
  <c r="J32" i="12"/>
  <c r="J33" i="12"/>
  <c r="J34" i="12"/>
  <c r="J35" i="12"/>
  <c r="J36" i="12"/>
  <c r="J37" i="12"/>
  <c r="J38" i="12"/>
  <c r="J39" i="12"/>
  <c r="J40" i="12"/>
  <c r="J61" i="12" s="1"/>
  <c r="K26" i="12"/>
  <c r="K27" i="12"/>
  <c r="K28" i="12"/>
  <c r="K29" i="12"/>
  <c r="K30" i="12"/>
  <c r="K31" i="12"/>
  <c r="K32" i="12"/>
  <c r="K33" i="12"/>
  <c r="K34" i="12"/>
  <c r="K55" i="12" s="1"/>
  <c r="K35" i="12"/>
  <c r="K36" i="12"/>
  <c r="K37" i="12"/>
  <c r="K38" i="12"/>
  <c r="K39" i="12"/>
  <c r="K40" i="12"/>
  <c r="K61" i="12" s="1"/>
  <c r="D26" i="12"/>
  <c r="D27" i="12"/>
  <c r="D28" i="12"/>
  <c r="D29" i="12"/>
  <c r="D30" i="12"/>
  <c r="D51" i="12" s="1"/>
  <c r="D31" i="12"/>
  <c r="D32" i="12"/>
  <c r="D33" i="12"/>
  <c r="D34" i="12"/>
  <c r="D35" i="12"/>
  <c r="D36" i="12"/>
  <c r="D37" i="12"/>
  <c r="D38" i="12"/>
  <c r="D39" i="12"/>
  <c r="D40" i="12"/>
  <c r="E32" i="8"/>
  <c r="H32" i="8"/>
  <c r="J5" i="7"/>
  <c r="B68" i="17" s="1"/>
  <c r="E13" i="7"/>
  <c r="B32" i="7" s="1"/>
  <c r="I8" i="7"/>
  <c r="B45" i="17" s="1"/>
  <c r="C45" i="17" s="1"/>
  <c r="B73" i="17" s="1"/>
  <c r="L25" i="7"/>
  <c r="L30" i="7" s="1"/>
  <c r="I42" i="6"/>
  <c r="L43" i="6"/>
  <c r="E46" i="6"/>
  <c r="M46" i="6"/>
  <c r="H47" i="6"/>
  <c r="F49" i="6"/>
  <c r="I50" i="6"/>
  <c r="D51" i="6"/>
  <c r="L51" i="6"/>
  <c r="E54" i="6"/>
  <c r="M54" i="6"/>
  <c r="H55" i="6"/>
  <c r="H49" i="6"/>
  <c r="B14" i="6"/>
  <c r="D42" i="6"/>
  <c r="L42" i="6"/>
  <c r="H46" i="6"/>
  <c r="I49" i="6"/>
  <c r="D50" i="6"/>
  <c r="L50" i="6"/>
  <c r="H54" i="6"/>
  <c r="E42" i="6"/>
  <c r="M42" i="6"/>
  <c r="H43" i="6"/>
  <c r="I46" i="6"/>
  <c r="D47" i="6"/>
  <c r="L47" i="6"/>
  <c r="B49" i="6"/>
  <c r="J49" i="6"/>
  <c r="E50" i="6"/>
  <c r="M50" i="6"/>
  <c r="H51" i="6"/>
  <c r="I54" i="6"/>
  <c r="D55" i="6"/>
  <c r="L55" i="6"/>
  <c r="G49" i="6"/>
  <c r="F42" i="6"/>
  <c r="B46" i="6"/>
  <c r="J46" i="6"/>
  <c r="E47" i="6"/>
  <c r="C49" i="6"/>
  <c r="K49" i="6"/>
  <c r="F50" i="6"/>
  <c r="B54" i="6"/>
  <c r="J54" i="6"/>
  <c r="E55" i="6"/>
  <c r="D49" i="6"/>
  <c r="L49" i="6"/>
  <c r="K54" i="6"/>
  <c r="D46" i="6"/>
  <c r="E49" i="6"/>
  <c r="D54" i="6"/>
  <c r="E7" i="5"/>
  <c r="D8" i="5"/>
  <c r="F2" i="5"/>
  <c r="R31" i="32" l="1"/>
  <c r="E23" i="16" s="1"/>
  <c r="D53" i="32"/>
  <c r="R43" i="32"/>
  <c r="E35" i="16" s="1"/>
  <c r="D27" i="22"/>
  <c r="R27" i="22" s="1"/>
  <c r="J59" i="35"/>
  <c r="M59" i="35"/>
  <c r="H59" i="35"/>
  <c r="D59" i="35"/>
  <c r="L59" i="35"/>
  <c r="F59" i="35"/>
  <c r="C59" i="35"/>
  <c r="N59" i="35"/>
  <c r="E59" i="35"/>
  <c r="K59" i="35"/>
  <c r="G59" i="35"/>
  <c r="I59" i="35"/>
  <c r="H57" i="35"/>
  <c r="M57" i="35"/>
  <c r="N57" i="35"/>
  <c r="K57" i="35"/>
  <c r="D57" i="35"/>
  <c r="C57" i="35"/>
  <c r="G57" i="35"/>
  <c r="I57" i="35"/>
  <c r="J57" i="35"/>
  <c r="E57" i="35"/>
  <c r="L57" i="35"/>
  <c r="F57" i="35"/>
  <c r="E64" i="35"/>
  <c r="N64" i="35"/>
  <c r="L64" i="35"/>
  <c r="I64" i="35"/>
  <c r="D64" i="35"/>
  <c r="G64" i="35"/>
  <c r="F64" i="35"/>
  <c r="K64" i="35"/>
  <c r="H64" i="35"/>
  <c r="M64" i="35"/>
  <c r="J64" i="35"/>
  <c r="C64" i="35"/>
  <c r="E65" i="35"/>
  <c r="M65" i="35"/>
  <c r="I65" i="35"/>
  <c r="G65" i="35"/>
  <c r="K65" i="35"/>
  <c r="H65" i="35"/>
  <c r="D65" i="35"/>
  <c r="N65" i="35"/>
  <c r="C65" i="35"/>
  <c r="J65" i="35"/>
  <c r="L65" i="35"/>
  <c r="F65" i="35"/>
  <c r="D5" i="22"/>
  <c r="R5" i="22" s="1"/>
  <c r="D53" i="35"/>
  <c r="F76" i="35"/>
  <c r="K76" i="35"/>
  <c r="K80" i="35" s="1"/>
  <c r="K77" i="35"/>
  <c r="H77" i="35"/>
  <c r="R29" i="32"/>
  <c r="E21" i="16" s="1"/>
  <c r="R35" i="32"/>
  <c r="E27" i="16" s="1"/>
  <c r="R22" i="14"/>
  <c r="D3" i="32"/>
  <c r="R34" i="14"/>
  <c r="C26" i="16" s="1"/>
  <c r="I62" i="35"/>
  <c r="H62" i="35"/>
  <c r="N62" i="35"/>
  <c r="D62" i="35"/>
  <c r="J62" i="35"/>
  <c r="L62" i="35"/>
  <c r="E62" i="35"/>
  <c r="C62" i="35"/>
  <c r="M62" i="35"/>
  <c r="F62" i="35"/>
  <c r="G62" i="35"/>
  <c r="K62" i="35"/>
  <c r="G76" i="35"/>
  <c r="J76" i="35"/>
  <c r="J80" i="35" s="1"/>
  <c r="O27" i="35"/>
  <c r="L77" i="35"/>
  <c r="R46" i="32"/>
  <c r="E38" i="16" s="1"/>
  <c r="R44" i="32"/>
  <c r="E36" i="16" s="1"/>
  <c r="J55" i="35"/>
  <c r="H55" i="35"/>
  <c r="D55" i="35"/>
  <c r="C55" i="35"/>
  <c r="N55" i="35"/>
  <c r="K55" i="35"/>
  <c r="M55" i="35"/>
  <c r="F55" i="35"/>
  <c r="I55" i="35"/>
  <c r="G55" i="35"/>
  <c r="L55" i="35"/>
  <c r="E55" i="35"/>
  <c r="D60" i="35"/>
  <c r="N60" i="35"/>
  <c r="I60" i="35"/>
  <c r="L60" i="35"/>
  <c r="M60" i="35"/>
  <c r="G60" i="35"/>
  <c r="H60" i="35"/>
  <c r="C60" i="35"/>
  <c r="O60" i="35" s="1"/>
  <c r="J60" i="35"/>
  <c r="K60" i="35"/>
  <c r="E60" i="35"/>
  <c r="F60" i="35"/>
  <c r="I63" i="35"/>
  <c r="L63" i="35"/>
  <c r="J63" i="35"/>
  <c r="C63" i="35"/>
  <c r="K63" i="35"/>
  <c r="N63" i="35"/>
  <c r="F63" i="35"/>
  <c r="E63" i="35"/>
  <c r="G63" i="35"/>
  <c r="D63" i="35"/>
  <c r="M63" i="35"/>
  <c r="H63" i="35"/>
  <c r="H76" i="35"/>
  <c r="D76" i="35"/>
  <c r="D80" i="35" s="1"/>
  <c r="E77" i="35"/>
  <c r="L9" i="35"/>
  <c r="D9" i="35"/>
  <c r="K9" i="35"/>
  <c r="J9" i="35"/>
  <c r="H9" i="35"/>
  <c r="G9" i="35"/>
  <c r="F9" i="35"/>
  <c r="M9" i="35"/>
  <c r="C9" i="35"/>
  <c r="I9" i="35"/>
  <c r="N9" i="35"/>
  <c r="E9" i="35"/>
  <c r="R38" i="32"/>
  <c r="E30" i="16" s="1"/>
  <c r="R36" i="32"/>
  <c r="E28" i="16" s="1"/>
  <c r="E6" i="30"/>
  <c r="E46" i="30" s="1"/>
  <c r="C4" i="6"/>
  <c r="D4" i="29" s="1"/>
  <c r="I76" i="35"/>
  <c r="I80" i="35" s="1"/>
  <c r="L76" i="35"/>
  <c r="M77" i="35"/>
  <c r="R14" i="32"/>
  <c r="E6" i="16" s="1"/>
  <c r="F6" i="16" s="1"/>
  <c r="R30" i="32"/>
  <c r="E22" i="16" s="1"/>
  <c r="F61" i="35"/>
  <c r="N61" i="35"/>
  <c r="C61" i="35"/>
  <c r="I61" i="35"/>
  <c r="L61" i="35"/>
  <c r="K61" i="35"/>
  <c r="G61" i="35"/>
  <c r="J61" i="35"/>
  <c r="D61" i="35"/>
  <c r="H61" i="35"/>
  <c r="E61" i="35"/>
  <c r="M61" i="35"/>
  <c r="G58" i="35"/>
  <c r="E58" i="35"/>
  <c r="C58" i="35"/>
  <c r="M58" i="35"/>
  <c r="L58" i="35"/>
  <c r="K58" i="35"/>
  <c r="J58" i="35"/>
  <c r="N58" i="35"/>
  <c r="D58" i="35"/>
  <c r="H58" i="35"/>
  <c r="F58" i="35"/>
  <c r="I58" i="35"/>
  <c r="K56" i="35"/>
  <c r="E56" i="35"/>
  <c r="D56" i="35"/>
  <c r="L56" i="35"/>
  <c r="I56" i="35"/>
  <c r="M56" i="35"/>
  <c r="G56" i="35"/>
  <c r="J56" i="35"/>
  <c r="F56" i="35"/>
  <c r="H56" i="35"/>
  <c r="C56" i="35"/>
  <c r="N56" i="35"/>
  <c r="I67" i="17"/>
  <c r="D3" i="14"/>
  <c r="O16" i="35"/>
  <c r="F77" i="35"/>
  <c r="R48" i="32"/>
  <c r="E40" i="16" s="1"/>
  <c r="R23" i="32"/>
  <c r="E12" i="16" s="1"/>
  <c r="D53" i="14"/>
  <c r="E6" i="12"/>
  <c r="D3" i="35"/>
  <c r="E76" i="35"/>
  <c r="E80" i="35" s="1"/>
  <c r="J77" i="35"/>
  <c r="N77" i="35"/>
  <c r="N80" i="35" s="1"/>
  <c r="R39" i="32"/>
  <c r="E31" i="16" s="1"/>
  <c r="I54" i="35"/>
  <c r="D54" i="35"/>
  <c r="N54" i="35"/>
  <c r="L54" i="35"/>
  <c r="E54" i="35"/>
  <c r="G54" i="35"/>
  <c r="M54" i="35"/>
  <c r="C54" i="35"/>
  <c r="H54" i="35"/>
  <c r="J54" i="35"/>
  <c r="K54" i="35"/>
  <c r="F54" i="35"/>
  <c r="D21" i="14"/>
  <c r="D25" i="14" s="1"/>
  <c r="C76" i="35"/>
  <c r="M76" i="35"/>
  <c r="M80" i="35" s="1"/>
  <c r="O79" i="35"/>
  <c r="R79" i="35" s="1"/>
  <c r="C77" i="35"/>
  <c r="G77" i="35"/>
  <c r="J49" i="31"/>
  <c r="N49" i="12"/>
  <c r="N49" i="31"/>
  <c r="K49" i="31"/>
  <c r="G49" i="31"/>
  <c r="F49" i="31"/>
  <c r="O48" i="31"/>
  <c r="F48" i="31"/>
  <c r="H48" i="31"/>
  <c r="M48" i="31"/>
  <c r="E48" i="31"/>
  <c r="K47" i="12"/>
  <c r="M47" i="31"/>
  <c r="E53" i="32"/>
  <c r="R43" i="14"/>
  <c r="C35" i="16" s="1"/>
  <c r="R48" i="35"/>
  <c r="R30" i="35"/>
  <c r="R42" i="35"/>
  <c r="R52" i="35"/>
  <c r="R34" i="35"/>
  <c r="R46" i="35"/>
  <c r="R23" i="35"/>
  <c r="R38" i="35"/>
  <c r="R36" i="35"/>
  <c r="R33" i="35"/>
  <c r="R22" i="35"/>
  <c r="R51" i="35"/>
  <c r="R31" i="35"/>
  <c r="R37" i="35"/>
  <c r="R44" i="35"/>
  <c r="R39" i="35"/>
  <c r="R43" i="35"/>
  <c r="R14" i="35"/>
  <c r="R45" i="35"/>
  <c r="R50" i="35"/>
  <c r="R35" i="35"/>
  <c r="R40" i="35"/>
  <c r="R32" i="35"/>
  <c r="R41" i="35"/>
  <c r="R28" i="35"/>
  <c r="R49" i="35"/>
  <c r="R29" i="35"/>
  <c r="R24" i="35"/>
  <c r="R67" i="35"/>
  <c r="R66" i="35"/>
  <c r="R27" i="35"/>
  <c r="R60" i="35"/>
  <c r="R42" i="14"/>
  <c r="C34" i="16" s="1"/>
  <c r="E27" i="22"/>
  <c r="S27" i="22" s="1"/>
  <c r="E53" i="14"/>
  <c r="E5" i="22"/>
  <c r="S5" i="22" s="1"/>
  <c r="F6" i="30"/>
  <c r="F25" i="30" s="1"/>
  <c r="F6" i="31"/>
  <c r="F25" i="31" s="1"/>
  <c r="E21" i="32"/>
  <c r="E25" i="32" s="1"/>
  <c r="E2" i="21"/>
  <c r="F21" i="35" s="1"/>
  <c r="F25" i="35" s="1"/>
  <c r="E21" i="14"/>
  <c r="E25" i="14" s="1"/>
  <c r="E3" i="14"/>
  <c r="E85" i="14" s="1"/>
  <c r="D4" i="6"/>
  <c r="F6" i="12"/>
  <c r="E53" i="35"/>
  <c r="E21" i="35"/>
  <c r="E25" i="35" s="1"/>
  <c r="E3" i="35"/>
  <c r="E85" i="35" s="1"/>
  <c r="D46" i="30"/>
  <c r="C80" i="17"/>
  <c r="O16" i="14"/>
  <c r="J47" i="31"/>
  <c r="J42" i="22"/>
  <c r="D46" i="31"/>
  <c r="R34" i="32"/>
  <c r="E26" i="16" s="1"/>
  <c r="N43" i="22"/>
  <c r="D4" i="9"/>
  <c r="E14" i="8"/>
  <c r="E13" i="8" s="1"/>
  <c r="H15" i="8" s="1"/>
  <c r="C69" i="16" s="1"/>
  <c r="L47" i="31"/>
  <c r="L62" i="31" s="1"/>
  <c r="L66" i="31" s="1"/>
  <c r="L75" i="31" s="1"/>
  <c r="D26" i="17"/>
  <c r="O27" i="14"/>
  <c r="O47" i="31"/>
  <c r="D47" i="31"/>
  <c r="I47" i="31"/>
  <c r="I62" i="31" s="1"/>
  <c r="I66" i="31" s="1"/>
  <c r="I75" i="31" s="1"/>
  <c r="H37" i="22"/>
  <c r="M31" i="22"/>
  <c r="G47" i="31"/>
  <c r="K47" i="31"/>
  <c r="C78" i="17"/>
  <c r="C74" i="17"/>
  <c r="L47" i="12"/>
  <c r="L62" i="12" s="1"/>
  <c r="L66" i="12" s="1"/>
  <c r="L75" i="12" s="1"/>
  <c r="G19" i="22"/>
  <c r="E25" i="30"/>
  <c r="G76" i="14"/>
  <c r="G80" i="14" s="1"/>
  <c r="C77" i="14"/>
  <c r="O47" i="12"/>
  <c r="I40" i="22"/>
  <c r="G77" i="14"/>
  <c r="D76" i="14"/>
  <c r="N47" i="12"/>
  <c r="N62" i="12" s="1"/>
  <c r="N66" i="12" s="1"/>
  <c r="N75" i="12" s="1"/>
  <c r="H34" i="22"/>
  <c r="O27" i="32"/>
  <c r="D77" i="32"/>
  <c r="J8" i="22"/>
  <c r="R49" i="14"/>
  <c r="C41" i="16" s="1"/>
  <c r="E25" i="31"/>
  <c r="R45" i="14"/>
  <c r="C37" i="16" s="1"/>
  <c r="O16" i="32"/>
  <c r="C82" i="17"/>
  <c r="J76" i="32"/>
  <c r="M57" i="12"/>
  <c r="N18" i="22"/>
  <c r="F48" i="30"/>
  <c r="E32" i="22"/>
  <c r="J48" i="30"/>
  <c r="I32" i="22"/>
  <c r="D61" i="12"/>
  <c r="P61" i="12" s="1"/>
  <c r="L9" i="32"/>
  <c r="D9" i="32"/>
  <c r="K9" i="32"/>
  <c r="C9" i="32"/>
  <c r="J9" i="32"/>
  <c r="I9" i="32"/>
  <c r="H9" i="32"/>
  <c r="G9" i="32"/>
  <c r="N9" i="32"/>
  <c r="F9" i="32"/>
  <c r="E9" i="32"/>
  <c r="M9" i="32"/>
  <c r="L9" i="14"/>
  <c r="D9" i="14"/>
  <c r="K9" i="14"/>
  <c r="C9" i="14"/>
  <c r="J9" i="14"/>
  <c r="I9" i="14"/>
  <c r="H9" i="14"/>
  <c r="G9" i="14"/>
  <c r="N9" i="14"/>
  <c r="F9" i="14"/>
  <c r="M9" i="14"/>
  <c r="E9" i="14"/>
  <c r="D53" i="12"/>
  <c r="E14" i="22"/>
  <c r="D14" i="22"/>
  <c r="C14" i="22"/>
  <c r="F14" i="22"/>
  <c r="K57" i="12"/>
  <c r="M18" i="22"/>
  <c r="K49" i="12"/>
  <c r="M10" i="22"/>
  <c r="J58" i="12"/>
  <c r="L19" i="22"/>
  <c r="J50" i="12"/>
  <c r="L11" i="22"/>
  <c r="H54" i="12"/>
  <c r="J15" i="22"/>
  <c r="G59" i="12"/>
  <c r="I20" i="22"/>
  <c r="G55" i="12"/>
  <c r="I16" i="22"/>
  <c r="G51" i="12"/>
  <c r="I12" i="22"/>
  <c r="I8" i="22"/>
  <c r="F60" i="12"/>
  <c r="H21" i="22"/>
  <c r="F56" i="12"/>
  <c r="H17" i="22"/>
  <c r="F52" i="12"/>
  <c r="H13" i="22"/>
  <c r="F48" i="12"/>
  <c r="H9" i="22"/>
  <c r="E57" i="12"/>
  <c r="G18" i="22"/>
  <c r="G14" i="22"/>
  <c r="E49" i="12"/>
  <c r="G10" i="22"/>
  <c r="I60" i="12"/>
  <c r="K21" i="22"/>
  <c r="R27" i="14"/>
  <c r="C19" i="16" s="1"/>
  <c r="O54" i="30"/>
  <c r="N38" i="22"/>
  <c r="O50" i="30"/>
  <c r="N34" i="22"/>
  <c r="K53" i="30"/>
  <c r="J37" i="22"/>
  <c r="O55" i="30"/>
  <c r="N39" i="22"/>
  <c r="N51" i="30"/>
  <c r="M35" i="22"/>
  <c r="M54" i="30"/>
  <c r="L38" i="22"/>
  <c r="M50" i="30"/>
  <c r="L34" i="22"/>
  <c r="K51" i="30"/>
  <c r="J35" i="22"/>
  <c r="F57" i="30"/>
  <c r="E41" i="22"/>
  <c r="G58" i="30"/>
  <c r="F42" i="22"/>
  <c r="R27" i="32"/>
  <c r="E19" i="16" s="1"/>
  <c r="N11" i="22"/>
  <c r="K58" i="12"/>
  <c r="M19" i="22"/>
  <c r="J51" i="12"/>
  <c r="L12" i="22"/>
  <c r="M53" i="12"/>
  <c r="N14" i="22"/>
  <c r="H53" i="30"/>
  <c r="G37" i="22"/>
  <c r="E55" i="30"/>
  <c r="D39" i="22"/>
  <c r="L54" i="30"/>
  <c r="K38" i="22"/>
  <c r="K56" i="12"/>
  <c r="M17" i="22"/>
  <c r="J49" i="12"/>
  <c r="L10" i="22"/>
  <c r="M56" i="12"/>
  <c r="N17" i="22"/>
  <c r="M52" i="12"/>
  <c r="N13" i="22"/>
  <c r="M48" i="12"/>
  <c r="N9" i="22"/>
  <c r="I90" i="32"/>
  <c r="I90" i="14"/>
  <c r="K90" i="32"/>
  <c r="K90" i="14"/>
  <c r="I52" i="12"/>
  <c r="K13" i="22"/>
  <c r="G54" i="30"/>
  <c r="F38" i="22"/>
  <c r="G50" i="30"/>
  <c r="F34" i="22"/>
  <c r="K50" i="30"/>
  <c r="J34" i="22"/>
  <c r="E59" i="30"/>
  <c r="D43" i="22"/>
  <c r="L53" i="30"/>
  <c r="K37" i="22"/>
  <c r="L49" i="30"/>
  <c r="K33" i="22"/>
  <c r="J54" i="30"/>
  <c r="I38" i="22"/>
  <c r="I57" i="12"/>
  <c r="K18" i="22"/>
  <c r="M49" i="12"/>
  <c r="N10" i="22"/>
  <c r="F52" i="30"/>
  <c r="E36" i="22"/>
  <c r="E47" i="30"/>
  <c r="D31" i="22"/>
  <c r="F13" i="22"/>
  <c r="E13" i="22"/>
  <c r="D13" i="22"/>
  <c r="C13" i="22"/>
  <c r="K48" i="12"/>
  <c r="M9" i="22"/>
  <c r="H53" i="12"/>
  <c r="J14" i="22"/>
  <c r="D59" i="12"/>
  <c r="F20" i="22"/>
  <c r="E20" i="22"/>
  <c r="D20" i="22"/>
  <c r="C20" i="22"/>
  <c r="M16" i="22"/>
  <c r="J48" i="12"/>
  <c r="L9" i="22"/>
  <c r="H52" i="12"/>
  <c r="J13" i="22"/>
  <c r="G58" i="12"/>
  <c r="I19" i="22"/>
  <c r="G17" i="22"/>
  <c r="M90" i="32"/>
  <c r="M90" i="14"/>
  <c r="J90" i="32"/>
  <c r="J90" i="14"/>
  <c r="I54" i="12"/>
  <c r="K15" i="22"/>
  <c r="N54" i="30"/>
  <c r="M38" i="22"/>
  <c r="N50" i="30"/>
  <c r="M34" i="22"/>
  <c r="M53" i="30"/>
  <c r="L37" i="22"/>
  <c r="M49" i="30"/>
  <c r="L33" i="22"/>
  <c r="D42" i="22"/>
  <c r="C37" i="22"/>
  <c r="C33" i="22"/>
  <c r="X54" i="6"/>
  <c r="U64" i="35" s="1"/>
  <c r="T64" i="32"/>
  <c r="T64" i="14"/>
  <c r="F55" i="12"/>
  <c r="H16" i="22"/>
  <c r="E60" i="12"/>
  <c r="G21" i="22"/>
  <c r="D58" i="12"/>
  <c r="F19" i="22"/>
  <c r="C19" i="22"/>
  <c r="E19" i="22"/>
  <c r="D19" i="22"/>
  <c r="F11" i="22"/>
  <c r="E11" i="22"/>
  <c r="D11" i="22"/>
  <c r="C11" i="22"/>
  <c r="K54" i="12"/>
  <c r="M15" i="22"/>
  <c r="J55" i="12"/>
  <c r="L16" i="22"/>
  <c r="K16" i="22"/>
  <c r="J47" i="12"/>
  <c r="L8" i="22"/>
  <c r="H59" i="12"/>
  <c r="J20" i="22"/>
  <c r="H51" i="12"/>
  <c r="J12" i="22"/>
  <c r="M59" i="12"/>
  <c r="N20" i="22"/>
  <c r="M55" i="12"/>
  <c r="N16" i="22"/>
  <c r="M51" i="12"/>
  <c r="N12" i="22"/>
  <c r="N8" i="22"/>
  <c r="I53" i="12"/>
  <c r="K14" i="22"/>
  <c r="E90" i="32"/>
  <c r="E90" i="14"/>
  <c r="I58" i="12"/>
  <c r="K19" i="22"/>
  <c r="L90" i="32"/>
  <c r="L90" i="14"/>
  <c r="H49" i="30"/>
  <c r="G33" i="22"/>
  <c r="H33" i="22"/>
  <c r="G53" i="30"/>
  <c r="F37" i="22"/>
  <c r="G49" i="30"/>
  <c r="F33" i="22"/>
  <c r="K47" i="30"/>
  <c r="J31" i="22"/>
  <c r="F54" i="30"/>
  <c r="E38" i="22"/>
  <c r="F50" i="30"/>
  <c r="E34" i="22"/>
  <c r="D37" i="22"/>
  <c r="E49" i="30"/>
  <c r="D33" i="22"/>
  <c r="F56" i="30"/>
  <c r="E40" i="22"/>
  <c r="J59" i="12"/>
  <c r="L20" i="22"/>
  <c r="F90" i="32"/>
  <c r="F90" i="14"/>
  <c r="L50" i="30"/>
  <c r="K34" i="22"/>
  <c r="K56" i="30"/>
  <c r="J40" i="22"/>
  <c r="J57" i="12"/>
  <c r="L18" i="22"/>
  <c r="F12" i="22"/>
  <c r="E12" i="22"/>
  <c r="D12" i="22"/>
  <c r="C12" i="22"/>
  <c r="M8" i="22"/>
  <c r="H60" i="12"/>
  <c r="J21" i="22"/>
  <c r="G54" i="12"/>
  <c r="I15" i="22"/>
  <c r="F59" i="12"/>
  <c r="H20" i="22"/>
  <c r="F47" i="12"/>
  <c r="H8" i="22"/>
  <c r="E48" i="12"/>
  <c r="G9" i="22"/>
  <c r="F18" i="22"/>
  <c r="E18" i="22"/>
  <c r="D18" i="22"/>
  <c r="C18" i="22"/>
  <c r="E10" i="22"/>
  <c r="D10" i="22"/>
  <c r="C10" i="22"/>
  <c r="F10" i="22"/>
  <c r="K53" i="12"/>
  <c r="M14" i="22"/>
  <c r="J54" i="12"/>
  <c r="L15" i="22"/>
  <c r="H58" i="12"/>
  <c r="J19" i="22"/>
  <c r="H50" i="12"/>
  <c r="J11" i="22"/>
  <c r="G57" i="12"/>
  <c r="I18" i="22"/>
  <c r="G53" i="12"/>
  <c r="I14" i="22"/>
  <c r="G49" i="12"/>
  <c r="I10" i="22"/>
  <c r="F58" i="12"/>
  <c r="H19" i="22"/>
  <c r="F54" i="12"/>
  <c r="H15" i="22"/>
  <c r="F50" i="12"/>
  <c r="H11" i="22"/>
  <c r="E59" i="12"/>
  <c r="G20" i="22"/>
  <c r="E55" i="12"/>
  <c r="G16" i="22"/>
  <c r="E51" i="12"/>
  <c r="G12" i="22"/>
  <c r="E47" i="12"/>
  <c r="G8" i="22"/>
  <c r="I50" i="12"/>
  <c r="K11" i="22"/>
  <c r="I47" i="12"/>
  <c r="K8" i="22"/>
  <c r="H48" i="30"/>
  <c r="H32" i="22"/>
  <c r="G32" i="22"/>
  <c r="O52" i="30"/>
  <c r="N36" i="22"/>
  <c r="O48" i="30"/>
  <c r="N32" i="22"/>
  <c r="O58" i="30"/>
  <c r="N42" i="22"/>
  <c r="X49" i="6"/>
  <c r="U59" i="35" s="1"/>
  <c r="T59" i="32"/>
  <c r="T59" i="14"/>
  <c r="F21" i="22"/>
  <c r="E21" i="22"/>
  <c r="D21" i="22"/>
  <c r="C21" i="22"/>
  <c r="J56" i="12"/>
  <c r="L17" i="22"/>
  <c r="G50" i="12"/>
  <c r="I11" i="22"/>
  <c r="F51" i="12"/>
  <c r="H12" i="22"/>
  <c r="E52" i="12"/>
  <c r="G13" i="22"/>
  <c r="D56" i="12"/>
  <c r="F17" i="22"/>
  <c r="E17" i="22"/>
  <c r="D17" i="22"/>
  <c r="C17" i="22"/>
  <c r="D48" i="12"/>
  <c r="C9" i="22"/>
  <c r="F9" i="22"/>
  <c r="E9" i="22"/>
  <c r="D9" i="22"/>
  <c r="K60" i="12"/>
  <c r="M21" i="22"/>
  <c r="K52" i="12"/>
  <c r="M13" i="22"/>
  <c r="J53" i="12"/>
  <c r="L14" i="22"/>
  <c r="H57" i="12"/>
  <c r="J18" i="22"/>
  <c r="H49" i="12"/>
  <c r="J10" i="22"/>
  <c r="M58" i="12"/>
  <c r="N19" i="22"/>
  <c r="M54" i="12"/>
  <c r="N15" i="22"/>
  <c r="N21" i="22"/>
  <c r="D54" i="12"/>
  <c r="D15" i="22"/>
  <c r="C15" i="22"/>
  <c r="F15" i="22"/>
  <c r="E15" i="22"/>
  <c r="K50" i="12"/>
  <c r="M11" i="22"/>
  <c r="H55" i="12"/>
  <c r="J16" i="22"/>
  <c r="D30" i="7"/>
  <c r="C79" i="14"/>
  <c r="O79" i="14" s="1"/>
  <c r="C79" i="32"/>
  <c r="O79" i="32" s="1"/>
  <c r="R79" i="32" s="1"/>
  <c r="E51" i="30"/>
  <c r="D35" i="22"/>
  <c r="C16" i="22"/>
  <c r="E16" i="22"/>
  <c r="D16" i="22"/>
  <c r="F16" i="22"/>
  <c r="D47" i="12"/>
  <c r="C8" i="22"/>
  <c r="F8" i="22"/>
  <c r="E8" i="22"/>
  <c r="D8" i="22"/>
  <c r="K59" i="12"/>
  <c r="M20" i="22"/>
  <c r="K51" i="12"/>
  <c r="M12" i="22"/>
  <c r="J60" i="12"/>
  <c r="L21" i="22"/>
  <c r="J52" i="12"/>
  <c r="L13" i="22"/>
  <c r="H56" i="12"/>
  <c r="J17" i="22"/>
  <c r="H48" i="12"/>
  <c r="J9" i="22"/>
  <c r="G60" i="12"/>
  <c r="I21" i="22"/>
  <c r="G56" i="12"/>
  <c r="I17" i="22"/>
  <c r="G52" i="12"/>
  <c r="I13" i="22"/>
  <c r="G48" i="12"/>
  <c r="I9" i="22"/>
  <c r="F57" i="12"/>
  <c r="H18" i="22"/>
  <c r="F53" i="12"/>
  <c r="H14" i="22"/>
  <c r="F49" i="12"/>
  <c r="H10" i="22"/>
  <c r="E54" i="12"/>
  <c r="G15" i="22"/>
  <c r="E50" i="12"/>
  <c r="G11" i="22"/>
  <c r="C7" i="22"/>
  <c r="N90" i="32"/>
  <c r="N90" i="14"/>
  <c r="B55" i="17"/>
  <c r="C68" i="16" s="1"/>
  <c r="B84" i="17"/>
  <c r="E68" i="16" s="1"/>
  <c r="I49" i="12"/>
  <c r="K10" i="22"/>
  <c r="H54" i="30"/>
  <c r="G38" i="22"/>
  <c r="K52" i="30"/>
  <c r="J36" i="22"/>
  <c r="C39" i="22"/>
  <c r="C35" i="22"/>
  <c r="C31" i="22"/>
  <c r="K57" i="30"/>
  <c r="J41" i="22"/>
  <c r="J49" i="30"/>
  <c r="I33" i="22"/>
  <c r="H38" i="22"/>
  <c r="C76" i="17"/>
  <c r="I56" i="12"/>
  <c r="K17" i="22"/>
  <c r="H55" i="30"/>
  <c r="H39" i="22"/>
  <c r="G39" i="22"/>
  <c r="H31" i="22"/>
  <c r="G31" i="22"/>
  <c r="O53" i="30"/>
  <c r="N37" i="22"/>
  <c r="O49" i="30"/>
  <c r="N33" i="22"/>
  <c r="K49" i="30"/>
  <c r="J33" i="22"/>
  <c r="F55" i="30"/>
  <c r="E39" i="22"/>
  <c r="F51" i="30"/>
  <c r="E35" i="22"/>
  <c r="E31" i="22"/>
  <c r="E54" i="30"/>
  <c r="D38" i="22"/>
  <c r="E50" i="30"/>
  <c r="D34" i="22"/>
  <c r="K48" i="30"/>
  <c r="J32" i="22"/>
  <c r="C38" i="22"/>
  <c r="C34" i="22"/>
  <c r="J55" i="30"/>
  <c r="I39" i="22"/>
  <c r="I31" i="22"/>
  <c r="L59" i="30"/>
  <c r="L43" i="22"/>
  <c r="K43" i="22"/>
  <c r="G41" i="22"/>
  <c r="C41" i="22"/>
  <c r="R39" i="14"/>
  <c r="C31" i="16" s="1"/>
  <c r="N76" i="14"/>
  <c r="X45" i="6"/>
  <c r="U55" i="35" s="1"/>
  <c r="T55" i="32"/>
  <c r="T55" i="14"/>
  <c r="K77" i="14"/>
  <c r="H77" i="14"/>
  <c r="L77" i="32"/>
  <c r="R44" i="14"/>
  <c r="C36" i="16" s="1"/>
  <c r="R35" i="14"/>
  <c r="C27" i="16" s="1"/>
  <c r="X50" i="6"/>
  <c r="U60" i="35" s="1"/>
  <c r="T60" i="32"/>
  <c r="T60" i="14"/>
  <c r="R50" i="14"/>
  <c r="C42" i="16" s="1"/>
  <c r="H76" i="14"/>
  <c r="H80" i="14" s="1"/>
  <c r="L76" i="14"/>
  <c r="D59" i="30"/>
  <c r="C43" i="22"/>
  <c r="F58" i="30"/>
  <c r="E42" i="22"/>
  <c r="G90" i="32"/>
  <c r="G90" i="14"/>
  <c r="I59" i="30"/>
  <c r="H43" i="22"/>
  <c r="C30" i="22"/>
  <c r="O30" i="22" s="1"/>
  <c r="R37" i="14"/>
  <c r="C29" i="16" s="1"/>
  <c r="D77" i="14"/>
  <c r="I77" i="14"/>
  <c r="E77" i="32"/>
  <c r="X52" i="6"/>
  <c r="U62" i="35" s="1"/>
  <c r="T62" i="32"/>
  <c r="T62" i="14"/>
  <c r="R24" i="14"/>
  <c r="C13" i="16" s="1"/>
  <c r="R41" i="14"/>
  <c r="C33" i="16" s="1"/>
  <c r="I76" i="14"/>
  <c r="E76" i="32"/>
  <c r="G76" i="32"/>
  <c r="C76" i="32"/>
  <c r="R40" i="14"/>
  <c r="C32" i="16" s="1"/>
  <c r="J53" i="30"/>
  <c r="I37" i="22"/>
  <c r="K54" i="30"/>
  <c r="J38" i="22"/>
  <c r="R22" i="32"/>
  <c r="E11" i="16" s="1"/>
  <c r="F43" i="22"/>
  <c r="F59" i="30"/>
  <c r="E43" i="22"/>
  <c r="H58" i="30"/>
  <c r="G42" i="22"/>
  <c r="H41" i="22"/>
  <c r="N58" i="30"/>
  <c r="M42" i="22"/>
  <c r="N41" i="22"/>
  <c r="C42" i="22"/>
  <c r="R28" i="32"/>
  <c r="E20" i="16" s="1"/>
  <c r="R50" i="32"/>
  <c r="E42" i="16" s="1"/>
  <c r="R46" i="14"/>
  <c r="C38" i="16" s="1"/>
  <c r="R31" i="14"/>
  <c r="C23" i="16" s="1"/>
  <c r="L77" i="14"/>
  <c r="H77" i="32"/>
  <c r="M77" i="32"/>
  <c r="R36" i="14"/>
  <c r="C28" i="16" s="1"/>
  <c r="X48" i="6"/>
  <c r="U58" i="35" s="1"/>
  <c r="T58" i="32"/>
  <c r="T58" i="14"/>
  <c r="R33" i="14"/>
  <c r="C25" i="16" s="1"/>
  <c r="M76" i="32"/>
  <c r="K76" i="32"/>
  <c r="X55" i="6"/>
  <c r="U65" i="35" s="1"/>
  <c r="T65" i="32"/>
  <c r="T65" i="14"/>
  <c r="D90" i="32"/>
  <c r="D90" i="14"/>
  <c r="K55" i="30"/>
  <c r="J39" i="22"/>
  <c r="K39" i="22"/>
  <c r="H52" i="30"/>
  <c r="H36" i="22"/>
  <c r="G36" i="22"/>
  <c r="G52" i="30"/>
  <c r="F36" i="22"/>
  <c r="G48" i="30"/>
  <c r="F32" i="22"/>
  <c r="N53" i="30"/>
  <c r="M37" i="22"/>
  <c r="N49" i="30"/>
  <c r="M33" i="22"/>
  <c r="M52" i="30"/>
  <c r="L36" i="22"/>
  <c r="M48" i="30"/>
  <c r="L32" i="22"/>
  <c r="E57" i="30"/>
  <c r="D41" i="22"/>
  <c r="L52" i="30"/>
  <c r="K36" i="22"/>
  <c r="L48" i="30"/>
  <c r="K32" i="22"/>
  <c r="J52" i="30"/>
  <c r="I36" i="22"/>
  <c r="Q9" i="31"/>
  <c r="I58" i="30"/>
  <c r="H42" i="22"/>
  <c r="L57" i="30"/>
  <c r="L41" i="22"/>
  <c r="K41" i="22"/>
  <c r="N56" i="30"/>
  <c r="M40" i="22"/>
  <c r="O56" i="30"/>
  <c r="N40" i="22"/>
  <c r="C39" i="17"/>
  <c r="B67" i="17" s="1"/>
  <c r="C68" i="17" s="1"/>
  <c r="H56" i="30"/>
  <c r="G40" i="22"/>
  <c r="J57" i="30"/>
  <c r="I41" i="22"/>
  <c r="R49" i="32"/>
  <c r="E41" i="16" s="1"/>
  <c r="R24" i="32"/>
  <c r="E13" i="16" s="1"/>
  <c r="R41" i="32"/>
  <c r="E33" i="16" s="1"/>
  <c r="R38" i="14"/>
  <c r="C30" i="16" s="1"/>
  <c r="F76" i="14"/>
  <c r="R29" i="14"/>
  <c r="C21" i="16" s="1"/>
  <c r="E77" i="14"/>
  <c r="I77" i="32"/>
  <c r="F77" i="32"/>
  <c r="C41" i="17"/>
  <c r="B69" i="17" s="1"/>
  <c r="C70" i="17" s="1"/>
  <c r="X46" i="6"/>
  <c r="U56" i="35" s="1"/>
  <c r="T56" i="32"/>
  <c r="T56" i="14"/>
  <c r="J76" i="14"/>
  <c r="E76" i="14"/>
  <c r="E80" i="14" s="1"/>
  <c r="H76" i="32"/>
  <c r="R32" i="14"/>
  <c r="C24" i="16" s="1"/>
  <c r="I59" i="12"/>
  <c r="K20" i="22"/>
  <c r="H51" i="30"/>
  <c r="H35" i="22"/>
  <c r="G35" i="22"/>
  <c r="O51" i="30"/>
  <c r="N35" i="22"/>
  <c r="N31" i="22"/>
  <c r="F53" i="30"/>
  <c r="E37" i="22"/>
  <c r="F49" i="30"/>
  <c r="E33" i="22"/>
  <c r="E52" i="30"/>
  <c r="D36" i="22"/>
  <c r="E48" i="30"/>
  <c r="D32" i="22"/>
  <c r="E56" i="30"/>
  <c r="D40" i="22"/>
  <c r="C36" i="22"/>
  <c r="C32" i="22"/>
  <c r="K59" i="30"/>
  <c r="J43" i="22"/>
  <c r="J51" i="30"/>
  <c r="I35" i="22"/>
  <c r="H59" i="30"/>
  <c r="G43" i="22"/>
  <c r="N57" i="30"/>
  <c r="M41" i="22"/>
  <c r="N59" i="30"/>
  <c r="M43" i="22"/>
  <c r="C11" i="16"/>
  <c r="G56" i="30"/>
  <c r="F40" i="22"/>
  <c r="R40" i="32"/>
  <c r="E32" i="16" s="1"/>
  <c r="R45" i="32"/>
  <c r="E37" i="16" s="1"/>
  <c r="R51" i="32"/>
  <c r="E43" i="16" s="1"/>
  <c r="R33" i="32"/>
  <c r="E25" i="16" s="1"/>
  <c r="R30" i="14"/>
  <c r="C22" i="16" s="1"/>
  <c r="J77" i="14"/>
  <c r="X51" i="6"/>
  <c r="U61" i="35" s="1"/>
  <c r="T61" i="32"/>
  <c r="T61" i="14"/>
  <c r="M77" i="14"/>
  <c r="J77" i="32"/>
  <c r="J80" i="32" s="1"/>
  <c r="N77" i="32"/>
  <c r="R28" i="14"/>
  <c r="C20" i="16" s="1"/>
  <c r="R52" i="14"/>
  <c r="C44" i="16" s="1"/>
  <c r="M76" i="14"/>
  <c r="H90" i="32"/>
  <c r="H90" i="14"/>
  <c r="I51" i="12"/>
  <c r="K12" i="22"/>
  <c r="H50" i="30"/>
  <c r="G34" i="22"/>
  <c r="G55" i="30"/>
  <c r="F39" i="22"/>
  <c r="G51" i="30"/>
  <c r="F35" i="22"/>
  <c r="F31" i="22"/>
  <c r="N52" i="30"/>
  <c r="M36" i="22"/>
  <c r="N48" i="30"/>
  <c r="M32" i="22"/>
  <c r="N55" i="30"/>
  <c r="M39" i="22"/>
  <c r="M51" i="30"/>
  <c r="L35" i="22"/>
  <c r="L31" i="22"/>
  <c r="M55" i="30"/>
  <c r="L39" i="22"/>
  <c r="L51" i="30"/>
  <c r="K35" i="22"/>
  <c r="K31" i="22"/>
  <c r="J50" i="30"/>
  <c r="I34" i="22"/>
  <c r="L58" i="30"/>
  <c r="L42" i="22"/>
  <c r="K42" i="22"/>
  <c r="D30" i="22"/>
  <c r="I43" i="22"/>
  <c r="I48" i="12"/>
  <c r="K9" i="22"/>
  <c r="L40" i="22"/>
  <c r="K40" i="22"/>
  <c r="R32" i="32"/>
  <c r="E24" i="16" s="1"/>
  <c r="F41" i="22"/>
  <c r="R37" i="32"/>
  <c r="E29" i="16" s="1"/>
  <c r="R42" i="32"/>
  <c r="E34" i="16" s="1"/>
  <c r="R51" i="14"/>
  <c r="C43" i="16" s="1"/>
  <c r="R23" i="14"/>
  <c r="C12" i="16" s="1"/>
  <c r="X47" i="6"/>
  <c r="U57" i="35" s="1"/>
  <c r="T57" i="32"/>
  <c r="T57" i="14"/>
  <c r="F77" i="14"/>
  <c r="C77" i="32"/>
  <c r="G77" i="32"/>
  <c r="X44" i="6"/>
  <c r="U54" i="35" s="1"/>
  <c r="T54" i="32"/>
  <c r="T54" i="14"/>
  <c r="C76" i="14"/>
  <c r="D76" i="32"/>
  <c r="D80" i="32" s="1"/>
  <c r="F76" i="32"/>
  <c r="I76" i="32"/>
  <c r="X53" i="6"/>
  <c r="U63" i="35" s="1"/>
  <c r="T63" i="32"/>
  <c r="T63" i="14"/>
  <c r="C40" i="22"/>
  <c r="H40" i="22"/>
  <c r="I42" i="22"/>
  <c r="E30" i="22"/>
  <c r="R48" i="14"/>
  <c r="C40" i="16" s="1"/>
  <c r="R14" i="14"/>
  <c r="C6" i="16" s="1"/>
  <c r="D6" i="16" s="1"/>
  <c r="N77" i="14"/>
  <c r="K77" i="32"/>
  <c r="K76" i="14"/>
  <c r="L76" i="32"/>
  <c r="L80" i="32" s="1"/>
  <c r="N76" i="32"/>
  <c r="P39" i="30"/>
  <c r="N43" i="6"/>
  <c r="J13" i="7"/>
  <c r="L33" i="7" s="1"/>
  <c r="O25" i="32"/>
  <c r="P37" i="30"/>
  <c r="I41" i="30"/>
  <c r="N52" i="6"/>
  <c r="P34" i="12"/>
  <c r="D28" i="17"/>
  <c r="I15" i="17" s="1"/>
  <c r="P38" i="30"/>
  <c r="I57" i="30"/>
  <c r="O67" i="32"/>
  <c r="P60" i="30"/>
  <c r="AC22" i="22"/>
  <c r="R12" i="35" s="1"/>
  <c r="N41" i="31"/>
  <c r="AC44" i="22"/>
  <c r="G56" i="6"/>
  <c r="P61" i="30"/>
  <c r="Q17" i="31"/>
  <c r="C56" i="6"/>
  <c r="I41" i="31"/>
  <c r="J41" i="31"/>
  <c r="O66" i="32"/>
  <c r="G62" i="31"/>
  <c r="G66" i="31" s="1"/>
  <c r="G75" i="31" s="1"/>
  <c r="M62" i="31"/>
  <c r="M66" i="31" s="1"/>
  <c r="M75" i="31" s="1"/>
  <c r="H41" i="31"/>
  <c r="E41" i="31"/>
  <c r="P32" i="31"/>
  <c r="P28" i="31"/>
  <c r="D53" i="31"/>
  <c r="P53" i="31" s="1"/>
  <c r="Q15" i="31"/>
  <c r="Q20" i="31"/>
  <c r="Q12" i="31"/>
  <c r="Q22" i="31"/>
  <c r="Q14" i="31"/>
  <c r="Q10" i="31"/>
  <c r="Q18" i="31"/>
  <c r="N47" i="31"/>
  <c r="N62" i="31" s="1"/>
  <c r="N66" i="31" s="1"/>
  <c r="N75" i="31" s="1"/>
  <c r="Q16" i="31"/>
  <c r="P60" i="31"/>
  <c r="F41" i="31"/>
  <c r="P31" i="31"/>
  <c r="P27" i="31"/>
  <c r="D52" i="31"/>
  <c r="P52" i="31" s="1"/>
  <c r="P35" i="31"/>
  <c r="D56" i="31"/>
  <c r="P56" i="31" s="1"/>
  <c r="D48" i="31"/>
  <c r="P48" i="31" s="1"/>
  <c r="Q13" i="31"/>
  <c r="P36" i="31"/>
  <c r="D57" i="31"/>
  <c r="P57" i="31" s="1"/>
  <c r="Q8" i="31"/>
  <c r="P59" i="31"/>
  <c r="L41" i="31"/>
  <c r="P34" i="31"/>
  <c r="D55" i="31"/>
  <c r="P55" i="31" s="1"/>
  <c r="P30" i="31"/>
  <c r="D41" i="31"/>
  <c r="P26" i="31"/>
  <c r="D51" i="31"/>
  <c r="P51" i="31" s="1"/>
  <c r="P38" i="31"/>
  <c r="E47" i="31"/>
  <c r="E62" i="31" s="1"/>
  <c r="E66" i="31" s="1"/>
  <c r="E75" i="31" s="1"/>
  <c r="P61" i="31"/>
  <c r="J62" i="31"/>
  <c r="J66" i="31" s="1"/>
  <c r="J75" i="31" s="1"/>
  <c r="Q21" i="31"/>
  <c r="P40" i="31"/>
  <c r="P37" i="31"/>
  <c r="D58" i="31"/>
  <c r="P58" i="31" s="1"/>
  <c r="Q11" i="31"/>
  <c r="P33" i="31"/>
  <c r="D54" i="31"/>
  <c r="P54" i="31" s="1"/>
  <c r="P39" i="31"/>
  <c r="O41" i="31"/>
  <c r="P29" i="31"/>
  <c r="D50" i="31"/>
  <c r="P50" i="31" s="1"/>
  <c r="P49" i="31"/>
  <c r="K62" i="31"/>
  <c r="K66" i="31" s="1"/>
  <c r="K75" i="31" s="1"/>
  <c r="G41" i="31"/>
  <c r="M41" i="31"/>
  <c r="K41" i="31"/>
  <c r="F47" i="31"/>
  <c r="F62" i="31" s="1"/>
  <c r="F66" i="31" s="1"/>
  <c r="F75" i="31" s="1"/>
  <c r="H47" i="31"/>
  <c r="H62" i="31" s="1"/>
  <c r="H66" i="31" s="1"/>
  <c r="H75" i="31" s="1"/>
  <c r="F41" i="30"/>
  <c r="F47" i="30"/>
  <c r="P31" i="30"/>
  <c r="D52" i="30"/>
  <c r="Q18" i="30"/>
  <c r="L41" i="30"/>
  <c r="L47" i="30"/>
  <c r="G47" i="30"/>
  <c r="G41" i="30"/>
  <c r="P27" i="30"/>
  <c r="D48" i="30"/>
  <c r="P34" i="30"/>
  <c r="P30" i="30"/>
  <c r="D51" i="30"/>
  <c r="D41" i="30"/>
  <c r="P26" i="30"/>
  <c r="D47" i="30"/>
  <c r="D55" i="30"/>
  <c r="J47" i="30"/>
  <c r="J41" i="30"/>
  <c r="Q15" i="30"/>
  <c r="Q21" i="30"/>
  <c r="Q20" i="30"/>
  <c r="Q12" i="30"/>
  <c r="Q22" i="30"/>
  <c r="Q14" i="30"/>
  <c r="Q19" i="30"/>
  <c r="Q11" i="30"/>
  <c r="Q13" i="30"/>
  <c r="K41" i="30"/>
  <c r="M41" i="30"/>
  <c r="P33" i="30"/>
  <c r="P29" i="30"/>
  <c r="D50" i="30"/>
  <c r="D54" i="30"/>
  <c r="P40" i="30"/>
  <c r="E41" i="30"/>
  <c r="P35" i="30"/>
  <c r="P32" i="30"/>
  <c r="D53" i="30"/>
  <c r="P28" i="30"/>
  <c r="D49" i="30"/>
  <c r="Q17" i="30"/>
  <c r="Q16" i="30"/>
  <c r="P36" i="30"/>
  <c r="H47" i="30"/>
  <c r="H41" i="30"/>
  <c r="O47" i="30"/>
  <c r="O41" i="30"/>
  <c r="N47" i="30"/>
  <c r="N41" i="30"/>
  <c r="M47" i="30"/>
  <c r="Q9" i="30"/>
  <c r="Q8" i="30"/>
  <c r="Q18" i="12"/>
  <c r="I41" i="12"/>
  <c r="Q17" i="12"/>
  <c r="Q16" i="12"/>
  <c r="P28" i="12"/>
  <c r="D55" i="12"/>
  <c r="P36" i="12"/>
  <c r="I13" i="7"/>
  <c r="K33" i="7" s="1"/>
  <c r="N51" i="6"/>
  <c r="K56" i="6"/>
  <c r="N53" i="6"/>
  <c r="N45" i="6"/>
  <c r="N44" i="6"/>
  <c r="N42" i="6"/>
  <c r="P39" i="12"/>
  <c r="Q9" i="12"/>
  <c r="P31" i="12"/>
  <c r="D60" i="12"/>
  <c r="D52" i="12"/>
  <c r="P37" i="12"/>
  <c r="P29" i="12"/>
  <c r="O67" i="14"/>
  <c r="N48" i="6"/>
  <c r="D49" i="12"/>
  <c r="J56" i="6"/>
  <c r="N55" i="6"/>
  <c r="N47" i="6"/>
  <c r="D57" i="12"/>
  <c r="N50" i="6"/>
  <c r="H56" i="6"/>
  <c r="P40" i="12"/>
  <c r="P32" i="12"/>
  <c r="O66" i="14"/>
  <c r="P33" i="12"/>
  <c r="K41" i="12"/>
  <c r="J41" i="12"/>
  <c r="M41" i="12"/>
  <c r="N41" i="12"/>
  <c r="E41" i="12"/>
  <c r="P38" i="12"/>
  <c r="P30" i="12"/>
  <c r="O41" i="12"/>
  <c r="F41" i="12"/>
  <c r="M47" i="12"/>
  <c r="H41" i="12"/>
  <c r="O62" i="12"/>
  <c r="O66" i="12" s="1"/>
  <c r="O75" i="12" s="1"/>
  <c r="G41" i="12"/>
  <c r="H47" i="12"/>
  <c r="G47" i="12"/>
  <c r="Q20" i="12"/>
  <c r="Q12" i="12"/>
  <c r="Q21" i="12"/>
  <c r="Q22" i="12"/>
  <c r="Q14" i="12"/>
  <c r="Q13" i="12"/>
  <c r="Q15" i="12"/>
  <c r="Q19" i="12"/>
  <c r="Q10" i="12"/>
  <c r="D50" i="12"/>
  <c r="P35" i="12"/>
  <c r="P27" i="12"/>
  <c r="Q11" i="12"/>
  <c r="D41" i="12"/>
  <c r="P26" i="12"/>
  <c r="H16" i="8"/>
  <c r="E69" i="16" s="1"/>
  <c r="N46" i="6"/>
  <c r="M56" i="6"/>
  <c r="E56" i="6"/>
  <c r="L56" i="6"/>
  <c r="F56" i="6"/>
  <c r="D56" i="6"/>
  <c r="I56" i="6"/>
  <c r="N54" i="6"/>
  <c r="N49" i="6"/>
  <c r="B56" i="6"/>
  <c r="B58" i="6" s="1"/>
  <c r="G2" i="5"/>
  <c r="F9" i="5"/>
  <c r="F7" i="5" s="1"/>
  <c r="O77" i="35" l="1"/>
  <c r="P77" i="35" s="1"/>
  <c r="O62" i="35"/>
  <c r="R62" i="35" s="1"/>
  <c r="O64" i="35"/>
  <c r="R64" i="35" s="1"/>
  <c r="O59" i="35"/>
  <c r="R59" i="35" s="1"/>
  <c r="O54" i="35"/>
  <c r="R54" i="35" s="1"/>
  <c r="O61" i="35"/>
  <c r="R61" i="35" s="1"/>
  <c r="H80" i="35"/>
  <c r="F80" i="35"/>
  <c r="O65" i="35"/>
  <c r="R65" i="35" s="1"/>
  <c r="O63" i="35"/>
  <c r="R63" i="35" s="1"/>
  <c r="O55" i="35"/>
  <c r="R55" i="35" s="1"/>
  <c r="O57" i="35"/>
  <c r="R57" i="35" s="1"/>
  <c r="O76" i="35"/>
  <c r="C80" i="35"/>
  <c r="O58" i="35"/>
  <c r="R58" i="35" s="1"/>
  <c r="G80" i="35"/>
  <c r="L80" i="35"/>
  <c r="E46" i="12"/>
  <c r="E25" i="12"/>
  <c r="D7" i="22" s="1"/>
  <c r="D22" i="22" s="1"/>
  <c r="D12" i="35" s="1"/>
  <c r="D47" i="35" s="1"/>
  <c r="O62" i="31"/>
  <c r="O66" i="31" s="1"/>
  <c r="O75" i="31" s="1"/>
  <c r="O56" i="35"/>
  <c r="R56" i="35" s="1"/>
  <c r="E4" i="6"/>
  <c r="F3" i="14"/>
  <c r="F27" i="22"/>
  <c r="T27" i="22" s="1"/>
  <c r="G6" i="30"/>
  <c r="G6" i="31"/>
  <c r="F5" i="22"/>
  <c r="T5" i="22" s="1"/>
  <c r="F46" i="31"/>
  <c r="G6" i="12"/>
  <c r="G46" i="12" s="1"/>
  <c r="F3" i="32"/>
  <c r="F21" i="14"/>
  <c r="F25" i="14" s="1"/>
  <c r="F53" i="32"/>
  <c r="F53" i="14"/>
  <c r="F2" i="21"/>
  <c r="G3" i="32" s="1"/>
  <c r="G85" i="32" s="1"/>
  <c r="F21" i="32"/>
  <c r="F25" i="32" s="1"/>
  <c r="F53" i="35"/>
  <c r="F3" i="35"/>
  <c r="F46" i="30"/>
  <c r="F46" i="12"/>
  <c r="F25" i="12"/>
  <c r="E7" i="22" s="1"/>
  <c r="E22" i="22" s="1"/>
  <c r="E12" i="35" s="1"/>
  <c r="E47" i="35" s="1"/>
  <c r="E74" i="35" s="1"/>
  <c r="E4" i="29"/>
  <c r="E4" i="9"/>
  <c r="D18" i="35"/>
  <c r="D5" i="35" s="1"/>
  <c r="P52" i="12"/>
  <c r="K80" i="14"/>
  <c r="I62" i="12"/>
  <c r="I66" i="12" s="1"/>
  <c r="I75" i="12" s="1"/>
  <c r="P59" i="12"/>
  <c r="C15" i="16"/>
  <c r="E62" i="30"/>
  <c r="E66" i="30" s="1"/>
  <c r="E75" i="30" s="1"/>
  <c r="H80" i="32"/>
  <c r="P51" i="12"/>
  <c r="F80" i="32"/>
  <c r="M62" i="12"/>
  <c r="M66" i="12" s="1"/>
  <c r="M75" i="12" s="1"/>
  <c r="E62" i="12"/>
  <c r="E66" i="12" s="1"/>
  <c r="E75" i="12" s="1"/>
  <c r="P48" i="12"/>
  <c r="P57" i="12"/>
  <c r="M62" i="30"/>
  <c r="M66" i="30" s="1"/>
  <c r="M75" i="30" s="1"/>
  <c r="K80" i="32"/>
  <c r="G80" i="32"/>
  <c r="P58" i="12"/>
  <c r="F62" i="12"/>
  <c r="F66" i="12" s="1"/>
  <c r="F75" i="12" s="1"/>
  <c r="O12" i="22"/>
  <c r="P60" i="12"/>
  <c r="P54" i="12"/>
  <c r="P53" i="12"/>
  <c r="K62" i="12"/>
  <c r="K66" i="12" s="1"/>
  <c r="K75" i="12" s="1"/>
  <c r="P50" i="12"/>
  <c r="P49" i="12"/>
  <c r="P57" i="30"/>
  <c r="M80" i="14"/>
  <c r="P59" i="30"/>
  <c r="O21" i="22"/>
  <c r="J62" i="12"/>
  <c r="J66" i="12" s="1"/>
  <c r="J75" i="12" s="1"/>
  <c r="L80" i="14"/>
  <c r="K62" i="30"/>
  <c r="K66" i="30" s="1"/>
  <c r="K75" i="30" s="1"/>
  <c r="P56" i="12"/>
  <c r="P58" i="30"/>
  <c r="P56" i="30"/>
  <c r="R12" i="32"/>
  <c r="E5" i="16" s="1"/>
  <c r="R12" i="14"/>
  <c r="C5" i="16" s="1"/>
  <c r="H62" i="14"/>
  <c r="C62" i="14"/>
  <c r="K62" i="14"/>
  <c r="G62" i="14"/>
  <c r="I62" i="14"/>
  <c r="D62" i="14"/>
  <c r="L62" i="14"/>
  <c r="F62" i="14"/>
  <c r="M62" i="14"/>
  <c r="J62" i="14"/>
  <c r="E62" i="14"/>
  <c r="N62" i="14"/>
  <c r="L62" i="30"/>
  <c r="L66" i="30" s="1"/>
  <c r="L75" i="30" s="1"/>
  <c r="L57" i="32"/>
  <c r="C57" i="32"/>
  <c r="D57" i="32"/>
  <c r="G57" i="32"/>
  <c r="F57" i="32"/>
  <c r="K57" i="32"/>
  <c r="E57" i="32"/>
  <c r="H57" i="32"/>
  <c r="J57" i="32"/>
  <c r="M57" i="32"/>
  <c r="I57" i="32"/>
  <c r="N57" i="32"/>
  <c r="J80" i="14"/>
  <c r="O38" i="22"/>
  <c r="H62" i="30"/>
  <c r="H66" i="30" s="1"/>
  <c r="H75" i="30" s="1"/>
  <c r="P50" i="30"/>
  <c r="P55" i="30"/>
  <c r="I80" i="32"/>
  <c r="O77" i="32"/>
  <c r="P77" i="32" s="1"/>
  <c r="Y51" i="6"/>
  <c r="U61" i="32"/>
  <c r="U61" i="14"/>
  <c r="G25" i="12"/>
  <c r="L58" i="32"/>
  <c r="I58" i="32"/>
  <c r="E58" i="32"/>
  <c r="J58" i="32"/>
  <c r="K58" i="32"/>
  <c r="F58" i="32"/>
  <c r="H58" i="32"/>
  <c r="D58" i="32"/>
  <c r="C58" i="32"/>
  <c r="M58" i="32"/>
  <c r="G58" i="32"/>
  <c r="N58" i="32"/>
  <c r="O43" i="22"/>
  <c r="N80" i="14"/>
  <c r="F59" i="32"/>
  <c r="K59" i="32"/>
  <c r="D59" i="32"/>
  <c r="I59" i="32"/>
  <c r="N59" i="32"/>
  <c r="E59" i="32"/>
  <c r="L59" i="32"/>
  <c r="G59" i="32"/>
  <c r="C59" i="32"/>
  <c r="H59" i="32"/>
  <c r="J59" i="32"/>
  <c r="M59" i="32"/>
  <c r="O37" i="22"/>
  <c r="O20" i="22"/>
  <c r="O13" i="22"/>
  <c r="G62" i="30"/>
  <c r="G66" i="30" s="1"/>
  <c r="G75" i="30" s="1"/>
  <c r="F62" i="30"/>
  <c r="F66" i="30" s="1"/>
  <c r="F75" i="30" s="1"/>
  <c r="N80" i="32"/>
  <c r="J57" i="14"/>
  <c r="F57" i="14"/>
  <c r="H57" i="14"/>
  <c r="N57" i="14"/>
  <c r="L57" i="14"/>
  <c r="C57" i="14"/>
  <c r="K57" i="14"/>
  <c r="E57" i="14"/>
  <c r="M57" i="14"/>
  <c r="G57" i="14"/>
  <c r="D57" i="14"/>
  <c r="I57" i="14"/>
  <c r="G5" i="22"/>
  <c r="U5" i="22" s="1"/>
  <c r="H65" i="32"/>
  <c r="I65" i="32"/>
  <c r="K65" i="32"/>
  <c r="C65" i="32"/>
  <c r="N65" i="32"/>
  <c r="F65" i="32"/>
  <c r="D65" i="32"/>
  <c r="E65" i="32"/>
  <c r="J65" i="32"/>
  <c r="M65" i="32"/>
  <c r="L65" i="32"/>
  <c r="G65" i="32"/>
  <c r="O42" i="22"/>
  <c r="K62" i="32"/>
  <c r="D62" i="32"/>
  <c r="I62" i="32"/>
  <c r="C62" i="32"/>
  <c r="J62" i="32"/>
  <c r="L62" i="32"/>
  <c r="E62" i="32"/>
  <c r="F62" i="32"/>
  <c r="H62" i="32"/>
  <c r="M62" i="32"/>
  <c r="N62" i="32"/>
  <c r="G62" i="32"/>
  <c r="O41" i="22"/>
  <c r="O34" i="22"/>
  <c r="O18" i="22"/>
  <c r="O19" i="22"/>
  <c r="O16" i="22"/>
  <c r="N64" i="14"/>
  <c r="C64" i="14"/>
  <c r="J64" i="14"/>
  <c r="D64" i="14"/>
  <c r="F64" i="14"/>
  <c r="H64" i="14"/>
  <c r="E64" i="14"/>
  <c r="M64" i="14"/>
  <c r="G64" i="14"/>
  <c r="I64" i="14"/>
  <c r="L64" i="14"/>
  <c r="K64" i="14"/>
  <c r="Y48" i="6"/>
  <c r="U58" i="32"/>
  <c r="U58" i="14"/>
  <c r="Y49" i="6"/>
  <c r="U59" i="32"/>
  <c r="U59" i="14"/>
  <c r="R66" i="32"/>
  <c r="E57" i="16" s="1"/>
  <c r="C80" i="32"/>
  <c r="O76" i="32"/>
  <c r="O40" i="22"/>
  <c r="H54" i="14"/>
  <c r="K54" i="14"/>
  <c r="M54" i="14"/>
  <c r="G54" i="14"/>
  <c r="N54" i="14"/>
  <c r="C54" i="14"/>
  <c r="E54" i="14"/>
  <c r="J54" i="14"/>
  <c r="L54" i="14"/>
  <c r="D54" i="14"/>
  <c r="I54" i="14"/>
  <c r="F54" i="14"/>
  <c r="O32" i="22"/>
  <c r="N56" i="14"/>
  <c r="C56" i="14"/>
  <c r="G56" i="14"/>
  <c r="F56" i="14"/>
  <c r="J56" i="14"/>
  <c r="D56" i="14"/>
  <c r="L56" i="14"/>
  <c r="K56" i="14"/>
  <c r="H56" i="14"/>
  <c r="I56" i="14"/>
  <c r="E56" i="14"/>
  <c r="M56" i="14"/>
  <c r="F80" i="14"/>
  <c r="E15" i="16"/>
  <c r="O31" i="22"/>
  <c r="E43" i="31"/>
  <c r="D12" i="32"/>
  <c r="E43" i="30"/>
  <c r="D12" i="14"/>
  <c r="E43" i="12"/>
  <c r="O9" i="22"/>
  <c r="O11" i="22"/>
  <c r="G64" i="32"/>
  <c r="N64" i="32"/>
  <c r="I64" i="32"/>
  <c r="M64" i="32"/>
  <c r="E64" i="32"/>
  <c r="L64" i="32"/>
  <c r="D64" i="32"/>
  <c r="C64" i="32"/>
  <c r="J64" i="32"/>
  <c r="K64" i="32"/>
  <c r="H64" i="32"/>
  <c r="F64" i="32"/>
  <c r="O14" i="22"/>
  <c r="K25" i="20"/>
  <c r="M25" i="20" s="1"/>
  <c r="I23" i="20"/>
  <c r="K18" i="20"/>
  <c r="M18" i="20" s="1"/>
  <c r="K16" i="20"/>
  <c r="M16" i="20" s="1"/>
  <c r="K14" i="20"/>
  <c r="M14" i="20" s="1"/>
  <c r="C35" i="17"/>
  <c r="I25" i="20"/>
  <c r="K20" i="20"/>
  <c r="M20" i="20" s="1"/>
  <c r="I18" i="20"/>
  <c r="I16" i="20"/>
  <c r="I14" i="20"/>
  <c r="K22" i="20"/>
  <c r="M22" i="20" s="1"/>
  <c r="I20" i="20"/>
  <c r="K24" i="20"/>
  <c r="M24" i="20" s="1"/>
  <c r="I22" i="20"/>
  <c r="K26" i="20"/>
  <c r="M26" i="20" s="1"/>
  <c r="I24" i="20"/>
  <c r="K17" i="20"/>
  <c r="M17" i="20" s="1"/>
  <c r="K15" i="20"/>
  <c r="M15" i="20" s="1"/>
  <c r="K13" i="20"/>
  <c r="I26" i="20"/>
  <c r="K19" i="20"/>
  <c r="M19" i="20" s="1"/>
  <c r="I17" i="20"/>
  <c r="I15" i="20"/>
  <c r="I13" i="20"/>
  <c r="K21" i="20"/>
  <c r="M21" i="20" s="1"/>
  <c r="I19" i="20"/>
  <c r="C11" i="19"/>
  <c r="K23" i="20"/>
  <c r="M23" i="20" s="1"/>
  <c r="I21" i="20"/>
  <c r="B11" i="19"/>
  <c r="O76" i="14"/>
  <c r="C80" i="14"/>
  <c r="G62" i="12"/>
  <c r="G66" i="12" s="1"/>
  <c r="G75" i="12" s="1"/>
  <c r="P49" i="30"/>
  <c r="I62" i="30"/>
  <c r="I66" i="30" s="1"/>
  <c r="I75" i="30" s="1"/>
  <c r="I63" i="14"/>
  <c r="D63" i="14"/>
  <c r="E63" i="14"/>
  <c r="M63" i="14"/>
  <c r="N63" i="14"/>
  <c r="J63" i="14"/>
  <c r="F63" i="14"/>
  <c r="G63" i="14"/>
  <c r="C63" i="14"/>
  <c r="K63" i="14"/>
  <c r="L63" i="14"/>
  <c r="H63" i="14"/>
  <c r="J54" i="32"/>
  <c r="H54" i="32"/>
  <c r="D54" i="32"/>
  <c r="N54" i="32"/>
  <c r="K54" i="32"/>
  <c r="L54" i="32"/>
  <c r="C54" i="32"/>
  <c r="I54" i="32"/>
  <c r="E54" i="32"/>
  <c r="G54" i="32"/>
  <c r="M54" i="32"/>
  <c r="F54" i="32"/>
  <c r="O36" i="22"/>
  <c r="C56" i="32"/>
  <c r="D56" i="32"/>
  <c r="K56" i="32"/>
  <c r="E56" i="32"/>
  <c r="M56" i="32"/>
  <c r="H56" i="32"/>
  <c r="F56" i="32"/>
  <c r="J56" i="32"/>
  <c r="L56" i="32"/>
  <c r="G56" i="32"/>
  <c r="I56" i="32"/>
  <c r="N56" i="32"/>
  <c r="M80" i="32"/>
  <c r="E80" i="32"/>
  <c r="J60" i="14"/>
  <c r="E60" i="14"/>
  <c r="N60" i="14"/>
  <c r="M60" i="14"/>
  <c r="I60" i="14"/>
  <c r="G60" i="14"/>
  <c r="D60" i="14"/>
  <c r="H60" i="14"/>
  <c r="L60" i="14"/>
  <c r="F60" i="14"/>
  <c r="C60" i="14"/>
  <c r="K60" i="14"/>
  <c r="L55" i="14"/>
  <c r="D55" i="14"/>
  <c r="G55" i="14"/>
  <c r="I55" i="14"/>
  <c r="H55" i="14"/>
  <c r="F55" i="14"/>
  <c r="J55" i="14"/>
  <c r="N55" i="14"/>
  <c r="E55" i="14"/>
  <c r="K55" i="14"/>
  <c r="M55" i="14"/>
  <c r="C55" i="14"/>
  <c r="O35" i="22"/>
  <c r="Y54" i="6"/>
  <c r="U64" i="32"/>
  <c r="U64" i="14"/>
  <c r="M65" i="14"/>
  <c r="H65" i="14"/>
  <c r="G65" i="14"/>
  <c r="I65" i="14"/>
  <c r="K65" i="14"/>
  <c r="C65" i="14"/>
  <c r="N65" i="14"/>
  <c r="J65" i="14"/>
  <c r="E65" i="14"/>
  <c r="D65" i="14"/>
  <c r="L65" i="14"/>
  <c r="F65" i="14"/>
  <c r="Y55" i="6"/>
  <c r="U65" i="32"/>
  <c r="U65" i="14"/>
  <c r="Y52" i="6"/>
  <c r="U62" i="32"/>
  <c r="U62" i="14"/>
  <c r="P51" i="30"/>
  <c r="H62" i="12"/>
  <c r="H66" i="12" s="1"/>
  <c r="H75" i="12" s="1"/>
  <c r="R66" i="14"/>
  <c r="C57" i="16" s="1"/>
  <c r="O62" i="30"/>
  <c r="O66" i="30" s="1"/>
  <c r="O75" i="30" s="1"/>
  <c r="P54" i="30"/>
  <c r="I63" i="32"/>
  <c r="J63" i="32"/>
  <c r="D63" i="32"/>
  <c r="F63" i="32"/>
  <c r="E63" i="32"/>
  <c r="N63" i="32"/>
  <c r="G63" i="32"/>
  <c r="L63" i="32"/>
  <c r="C63" i="32"/>
  <c r="M63" i="32"/>
  <c r="H63" i="32"/>
  <c r="K63" i="32"/>
  <c r="Y44" i="6"/>
  <c r="U54" i="32"/>
  <c r="U54" i="14"/>
  <c r="I61" i="14"/>
  <c r="D61" i="14"/>
  <c r="C61" i="14"/>
  <c r="M61" i="14"/>
  <c r="K61" i="14"/>
  <c r="N61" i="14"/>
  <c r="H61" i="14"/>
  <c r="E61" i="14"/>
  <c r="F61" i="14"/>
  <c r="J61" i="14"/>
  <c r="L61" i="14"/>
  <c r="G61" i="14"/>
  <c r="Y46" i="6"/>
  <c r="U56" i="32"/>
  <c r="U56" i="14"/>
  <c r="F4" i="29"/>
  <c r="F4" i="9"/>
  <c r="G25" i="30"/>
  <c r="F30" i="22" s="1"/>
  <c r="F44" i="22" s="1"/>
  <c r="G46" i="30"/>
  <c r="I80" i="14"/>
  <c r="O77" i="14"/>
  <c r="P77" i="14" s="1"/>
  <c r="D60" i="32"/>
  <c r="E60" i="32"/>
  <c r="F60" i="32"/>
  <c r="J60" i="32"/>
  <c r="L60" i="32"/>
  <c r="M60" i="32"/>
  <c r="N60" i="32"/>
  <c r="G60" i="32"/>
  <c r="H60" i="32"/>
  <c r="C60" i="32"/>
  <c r="K60" i="32"/>
  <c r="I60" i="32"/>
  <c r="E55" i="32"/>
  <c r="C55" i="32"/>
  <c r="M55" i="32"/>
  <c r="K55" i="32"/>
  <c r="G55" i="32"/>
  <c r="F55" i="32"/>
  <c r="N55" i="32"/>
  <c r="H55" i="32"/>
  <c r="L55" i="32"/>
  <c r="D55" i="32"/>
  <c r="J55" i="32"/>
  <c r="I55" i="32"/>
  <c r="O39" i="22"/>
  <c r="O8" i="22"/>
  <c r="O17" i="22"/>
  <c r="R67" i="14"/>
  <c r="C58" i="16" s="1"/>
  <c r="E12" i="14"/>
  <c r="P55" i="12"/>
  <c r="C22" i="22"/>
  <c r="C12" i="35" s="1"/>
  <c r="O7" i="22"/>
  <c r="O22" i="22" s="1"/>
  <c r="N62" i="30"/>
  <c r="N66" i="30" s="1"/>
  <c r="N75" i="30" s="1"/>
  <c r="Y47" i="6"/>
  <c r="U57" i="32"/>
  <c r="U57" i="14"/>
  <c r="P53" i="30"/>
  <c r="J62" i="30"/>
  <c r="J66" i="30" s="1"/>
  <c r="J75" i="30" s="1"/>
  <c r="P48" i="30"/>
  <c r="P52" i="30"/>
  <c r="R67" i="32"/>
  <c r="E58" i="16" s="1"/>
  <c r="Y53" i="6"/>
  <c r="U63" i="32"/>
  <c r="U63" i="14"/>
  <c r="K61" i="32"/>
  <c r="F61" i="32"/>
  <c r="I61" i="32"/>
  <c r="N61" i="32"/>
  <c r="L61" i="32"/>
  <c r="E61" i="32"/>
  <c r="G61" i="32"/>
  <c r="H61" i="32"/>
  <c r="J61" i="32"/>
  <c r="C61" i="32"/>
  <c r="M61" i="32"/>
  <c r="D61" i="32"/>
  <c r="G25" i="31"/>
  <c r="G46" i="31"/>
  <c r="I58" i="14"/>
  <c r="E58" i="14"/>
  <c r="M58" i="14"/>
  <c r="L58" i="14"/>
  <c r="C58" i="14"/>
  <c r="D58" i="14"/>
  <c r="F58" i="14"/>
  <c r="J58" i="14"/>
  <c r="N58" i="14"/>
  <c r="H58" i="14"/>
  <c r="K58" i="14"/>
  <c r="G58" i="14"/>
  <c r="Y50" i="6"/>
  <c r="U60" i="32"/>
  <c r="U60" i="14"/>
  <c r="Y45" i="6"/>
  <c r="U55" i="32"/>
  <c r="U55" i="14"/>
  <c r="R79" i="14"/>
  <c r="B54" i="17" s="1"/>
  <c r="C55" i="17" s="1"/>
  <c r="O15" i="22"/>
  <c r="G59" i="14"/>
  <c r="N59" i="14"/>
  <c r="I59" i="14"/>
  <c r="L59" i="14"/>
  <c r="H59" i="14"/>
  <c r="C59" i="14"/>
  <c r="E59" i="14"/>
  <c r="J59" i="14"/>
  <c r="F59" i="14"/>
  <c r="D59" i="14"/>
  <c r="K59" i="14"/>
  <c r="M59" i="14"/>
  <c r="O10" i="22"/>
  <c r="D80" i="14"/>
  <c r="O33" i="22"/>
  <c r="Q23" i="30"/>
  <c r="Q23" i="31"/>
  <c r="P41" i="31"/>
  <c r="Q28" i="31" s="1"/>
  <c r="D62" i="31"/>
  <c r="D66" i="31" s="1"/>
  <c r="P47" i="31"/>
  <c r="P62" i="31" s="1"/>
  <c r="P47" i="30"/>
  <c r="D62" i="30"/>
  <c r="D66" i="30" s="1"/>
  <c r="P41" i="30"/>
  <c r="Q32" i="30" s="1"/>
  <c r="Q23" i="12"/>
  <c r="N56" i="6"/>
  <c r="N58" i="6" s="1"/>
  <c r="H43" i="17"/>
  <c r="I28" i="17"/>
  <c r="J28" i="17" s="1"/>
  <c r="E29" i="17" s="1"/>
  <c r="P41" i="12"/>
  <c r="Q26" i="12" s="1"/>
  <c r="P47" i="12"/>
  <c r="D62" i="12"/>
  <c r="D66" i="12" s="1"/>
  <c r="C5" i="6"/>
  <c r="C58" i="6" s="1"/>
  <c r="D5" i="6" s="1"/>
  <c r="D58" i="6" s="1"/>
  <c r="E5" i="6" s="1"/>
  <c r="E58" i="6" s="1"/>
  <c r="F5" i="6" s="1"/>
  <c r="F58" i="6" s="1"/>
  <c r="G5" i="6" s="1"/>
  <c r="G58" i="6" s="1"/>
  <c r="H5" i="6" s="1"/>
  <c r="H58" i="6" s="1"/>
  <c r="I5" i="6" s="1"/>
  <c r="I58" i="6" s="1"/>
  <c r="J5" i="6" s="1"/>
  <c r="J58" i="6" s="1"/>
  <c r="K5" i="6" s="1"/>
  <c r="K58" i="6" s="1"/>
  <c r="L5" i="6" s="1"/>
  <c r="L58" i="6" s="1"/>
  <c r="M5" i="6" s="1"/>
  <c r="M58" i="6" s="1"/>
  <c r="E8" i="5"/>
  <c r="H2" i="5"/>
  <c r="G9" i="5"/>
  <c r="G7" i="5" s="1"/>
  <c r="W56" i="35" l="1"/>
  <c r="V56" i="35"/>
  <c r="W59" i="35"/>
  <c r="V59" i="35"/>
  <c r="W60" i="35"/>
  <c r="V60" i="35"/>
  <c r="W62" i="35"/>
  <c r="V62" i="35"/>
  <c r="W58" i="35"/>
  <c r="V58" i="35"/>
  <c r="O80" i="35"/>
  <c r="P76" i="35"/>
  <c r="W64" i="35"/>
  <c r="V64" i="35"/>
  <c r="V55" i="35"/>
  <c r="W55" i="35"/>
  <c r="V63" i="35"/>
  <c r="W63" i="35"/>
  <c r="V57" i="35"/>
  <c r="W57" i="35"/>
  <c r="V65" i="35"/>
  <c r="W65" i="35"/>
  <c r="W61" i="35"/>
  <c r="V61" i="35"/>
  <c r="V54" i="35"/>
  <c r="W54" i="35"/>
  <c r="F43" i="30"/>
  <c r="C47" i="35"/>
  <c r="C18" i="35"/>
  <c r="C5" i="35" s="1"/>
  <c r="O12" i="35"/>
  <c r="O18" i="35" s="1"/>
  <c r="F43" i="12"/>
  <c r="G27" i="22"/>
  <c r="U27" i="22" s="1"/>
  <c r="H6" i="30"/>
  <c r="H46" i="30" s="1"/>
  <c r="G53" i="14"/>
  <c r="H6" i="31"/>
  <c r="H25" i="31" s="1"/>
  <c r="E18" i="35"/>
  <c r="E5" i="35" s="1"/>
  <c r="F4" i="6"/>
  <c r="G53" i="32"/>
  <c r="G21" i="35"/>
  <c r="G25" i="35" s="1"/>
  <c r="H6" i="12"/>
  <c r="H46" i="12" s="1"/>
  <c r="G2" i="21"/>
  <c r="H53" i="32" s="1"/>
  <c r="G3" i="35"/>
  <c r="G85" i="35" s="1"/>
  <c r="G21" i="14"/>
  <c r="G25" i="14" s="1"/>
  <c r="G21" i="32"/>
  <c r="G25" i="32" s="1"/>
  <c r="G53" i="35"/>
  <c r="G3" i="14"/>
  <c r="G85" i="14" s="1"/>
  <c r="F43" i="31"/>
  <c r="E12" i="32"/>
  <c r="E47" i="32" s="1"/>
  <c r="E91" i="35"/>
  <c r="D74" i="35"/>
  <c r="D91" i="35"/>
  <c r="P62" i="12"/>
  <c r="O55" i="14"/>
  <c r="R55" i="14" s="1"/>
  <c r="C46" i="16" s="1"/>
  <c r="O54" i="14"/>
  <c r="R54" i="14" s="1"/>
  <c r="C45" i="16" s="1"/>
  <c r="W58" i="32"/>
  <c r="V58" i="32"/>
  <c r="W58" i="14"/>
  <c r="V58" i="14"/>
  <c r="P62" i="30"/>
  <c r="W57" i="32"/>
  <c r="V57" i="32"/>
  <c r="V57" i="14"/>
  <c r="W57" i="14"/>
  <c r="M13" i="20"/>
  <c r="M11" i="20" s="1"/>
  <c r="K11" i="20"/>
  <c r="F5" i="16"/>
  <c r="F7" i="16" s="1"/>
  <c r="E7" i="16"/>
  <c r="O62" i="14"/>
  <c r="O55" i="32"/>
  <c r="O61" i="14"/>
  <c r="W61" i="32"/>
  <c r="V61" i="32"/>
  <c r="V61" i="14"/>
  <c r="W61" i="14"/>
  <c r="W63" i="32"/>
  <c r="V63" i="32"/>
  <c r="V63" i="14"/>
  <c r="W63" i="14"/>
  <c r="B83" i="17"/>
  <c r="C84" i="17" s="1"/>
  <c r="D84" i="17" s="1"/>
  <c r="D55" i="17"/>
  <c r="O63" i="32"/>
  <c r="O64" i="32"/>
  <c r="O62" i="32"/>
  <c r="V56" i="32"/>
  <c r="W56" i="32"/>
  <c r="V56" i="14"/>
  <c r="W56" i="14"/>
  <c r="O58" i="14"/>
  <c r="O59" i="14"/>
  <c r="O61" i="32"/>
  <c r="D43" i="31"/>
  <c r="P43" i="31" s="1"/>
  <c r="C12" i="32"/>
  <c r="D43" i="30"/>
  <c r="P43" i="30" s="1"/>
  <c r="D43" i="12"/>
  <c r="P43" i="12" s="1"/>
  <c r="C12" i="14"/>
  <c r="W62" i="32"/>
  <c r="V62" i="32"/>
  <c r="W62" i="14"/>
  <c r="V62" i="14"/>
  <c r="O54" i="32"/>
  <c r="P76" i="14"/>
  <c r="I39" i="17" s="1"/>
  <c r="O80" i="14"/>
  <c r="O64" i="14"/>
  <c r="O58" i="32"/>
  <c r="O57" i="32"/>
  <c r="D18" i="32"/>
  <c r="D5" i="32" s="1"/>
  <c r="D47" i="32"/>
  <c r="O65" i="32"/>
  <c r="V60" i="32"/>
  <c r="W60" i="32"/>
  <c r="W60" i="14"/>
  <c r="V60" i="14"/>
  <c r="O60" i="14"/>
  <c r="O56" i="32"/>
  <c r="W59" i="32"/>
  <c r="V59" i="32"/>
  <c r="V59" i="14"/>
  <c r="W59" i="14"/>
  <c r="G4" i="29"/>
  <c r="G4" i="9"/>
  <c r="H46" i="31"/>
  <c r="Q40" i="30"/>
  <c r="O60" i="32"/>
  <c r="O65" i="14"/>
  <c r="V64" i="32"/>
  <c r="W64" i="14"/>
  <c r="W64" i="32"/>
  <c r="V64" i="14"/>
  <c r="O63" i="14"/>
  <c r="D47" i="14"/>
  <c r="D18" i="14"/>
  <c r="D5" i="14" s="1"/>
  <c r="E4" i="5" s="1"/>
  <c r="O59" i="32"/>
  <c r="F7" i="22"/>
  <c r="F22" i="22" s="1"/>
  <c r="F12" i="35" s="1"/>
  <c r="W55" i="32"/>
  <c r="V55" i="32"/>
  <c r="V55" i="14"/>
  <c r="W55" i="14"/>
  <c r="E47" i="14"/>
  <c r="E18" i="14"/>
  <c r="E5" i="14" s="1"/>
  <c r="F4" i="5" s="1"/>
  <c r="W54" i="32"/>
  <c r="V54" i="32"/>
  <c r="V54" i="14"/>
  <c r="W54" i="14"/>
  <c r="W65" i="32"/>
  <c r="V65" i="32"/>
  <c r="W65" i="14"/>
  <c r="V65" i="14"/>
  <c r="D5" i="16"/>
  <c r="D7" i="16" s="1"/>
  <c r="C7" i="16"/>
  <c r="O56" i="14"/>
  <c r="P76" i="32"/>
  <c r="O80" i="32"/>
  <c r="H25" i="12"/>
  <c r="G7" i="22" s="1"/>
  <c r="G22" i="22" s="1"/>
  <c r="G12" i="35" s="1"/>
  <c r="O57" i="14"/>
  <c r="Q35" i="31"/>
  <c r="Q39" i="31"/>
  <c r="Q34" i="31"/>
  <c r="Q27" i="31"/>
  <c r="Q37" i="31"/>
  <c r="Q33" i="31"/>
  <c r="Q26" i="31"/>
  <c r="Q31" i="31"/>
  <c r="Q30" i="31"/>
  <c r="Q38" i="31"/>
  <c r="D75" i="31"/>
  <c r="D77" i="31" s="1"/>
  <c r="P66" i="31"/>
  <c r="P75" i="31" s="1"/>
  <c r="Q32" i="31"/>
  <c r="Q36" i="31"/>
  <c r="Q40" i="31"/>
  <c r="Q29" i="31"/>
  <c r="Q35" i="30"/>
  <c r="Q31" i="30"/>
  <c r="Q39" i="30"/>
  <c r="Q38" i="30"/>
  <c r="Q37" i="30"/>
  <c r="Q27" i="30"/>
  <c r="Q26" i="30"/>
  <c r="D75" i="30"/>
  <c r="D77" i="30" s="1"/>
  <c r="P66" i="30"/>
  <c r="P75" i="30" s="1"/>
  <c r="Q34" i="30"/>
  <c r="Q36" i="30"/>
  <c r="Q33" i="30"/>
  <c r="Q30" i="30"/>
  <c r="Q29" i="30"/>
  <c r="Q28" i="30"/>
  <c r="Q30" i="12"/>
  <c r="Q35" i="12"/>
  <c r="Q38" i="12"/>
  <c r="D75" i="12"/>
  <c r="D77" i="12" s="1"/>
  <c r="P66" i="12"/>
  <c r="P75" i="12" s="1"/>
  <c r="Q31" i="12"/>
  <c r="Q40" i="12"/>
  <c r="Q29" i="12"/>
  <c r="Q32" i="12"/>
  <c r="Q34" i="12"/>
  <c r="Q37" i="12"/>
  <c r="Q36" i="12"/>
  <c r="Q28" i="12"/>
  <c r="Q39" i="12"/>
  <c r="Q33" i="12"/>
  <c r="Q27" i="12"/>
  <c r="O58" i="6"/>
  <c r="F8" i="5"/>
  <c r="I2" i="5"/>
  <c r="H9" i="5"/>
  <c r="G8" i="5" s="1"/>
  <c r="E77" i="30" l="1"/>
  <c r="F77" i="30" s="1"/>
  <c r="G77" i="30" s="1"/>
  <c r="H77" i="30" s="1"/>
  <c r="I77" i="30" s="1"/>
  <c r="J77" i="30" s="1"/>
  <c r="K77" i="30" s="1"/>
  <c r="L77" i="30" s="1"/>
  <c r="M77" i="30" s="1"/>
  <c r="N77" i="30" s="1"/>
  <c r="O77" i="30" s="1"/>
  <c r="E77" i="12"/>
  <c r="F77" i="12" s="1"/>
  <c r="G77" i="12" s="1"/>
  <c r="H77" i="12" s="1"/>
  <c r="I77" i="12" s="1"/>
  <c r="J77" i="12" s="1"/>
  <c r="K77" i="12" s="1"/>
  <c r="L77" i="12" s="1"/>
  <c r="M77" i="12" s="1"/>
  <c r="N77" i="12" s="1"/>
  <c r="O77" i="12" s="1"/>
  <c r="E77" i="31"/>
  <c r="F77" i="31" s="1"/>
  <c r="G77" i="31" s="1"/>
  <c r="H77" i="31" s="1"/>
  <c r="I77" i="31" s="1"/>
  <c r="J77" i="31" s="1"/>
  <c r="K77" i="31" s="1"/>
  <c r="L77" i="31" s="1"/>
  <c r="M77" i="31" s="1"/>
  <c r="N77" i="31" s="1"/>
  <c r="O77" i="31" s="1"/>
  <c r="O5" i="35"/>
  <c r="O47" i="35"/>
  <c r="C74" i="35"/>
  <c r="C87" i="35" s="1"/>
  <c r="C91" i="35"/>
  <c r="C92" i="35" s="1"/>
  <c r="D84" i="35" s="1"/>
  <c r="H2" i="21"/>
  <c r="J6" i="30" s="1"/>
  <c r="H27" i="22"/>
  <c r="V27" i="22" s="1"/>
  <c r="I6" i="12"/>
  <c r="H21" i="32"/>
  <c r="H25" i="32" s="1"/>
  <c r="H25" i="30"/>
  <c r="G30" i="22" s="1"/>
  <c r="G44" i="22" s="1"/>
  <c r="H5" i="22"/>
  <c r="V5" i="22" s="1"/>
  <c r="H53" i="14"/>
  <c r="H21" i="14"/>
  <c r="H25" i="14" s="1"/>
  <c r="H21" i="35"/>
  <c r="H25" i="35" s="1"/>
  <c r="G4" i="6"/>
  <c r="H4" i="29" s="1"/>
  <c r="I6" i="31"/>
  <c r="H53" i="35"/>
  <c r="I6" i="30"/>
  <c r="I46" i="30" s="1"/>
  <c r="H3" i="14"/>
  <c r="H85" i="14" s="1"/>
  <c r="H3" i="32"/>
  <c r="H85" i="32" s="1"/>
  <c r="H3" i="35"/>
  <c r="H85" i="35" s="1"/>
  <c r="E18" i="32"/>
  <c r="E5" i="32" s="1"/>
  <c r="F18" i="35"/>
  <c r="F5" i="35" s="1"/>
  <c r="F47" i="35"/>
  <c r="G47" i="35"/>
  <c r="G18" i="35"/>
  <c r="G5" i="35" s="1"/>
  <c r="I68" i="17"/>
  <c r="G12" i="32"/>
  <c r="H43" i="30"/>
  <c r="H43" i="31"/>
  <c r="G12" i="14"/>
  <c r="H43" i="12"/>
  <c r="R60" i="32"/>
  <c r="E51" i="16" s="1"/>
  <c r="R60" i="14"/>
  <c r="C51" i="16" s="1"/>
  <c r="R54" i="32"/>
  <c r="E45" i="16" s="1"/>
  <c r="C47" i="32"/>
  <c r="O12" i="32"/>
  <c r="C18" i="32"/>
  <c r="C5" i="32" s="1"/>
  <c r="R56" i="32"/>
  <c r="E47" i="16" s="1"/>
  <c r="D91" i="14"/>
  <c r="D74" i="14"/>
  <c r="R57" i="32"/>
  <c r="E48" i="16" s="1"/>
  <c r="R59" i="32"/>
  <c r="E50" i="16" s="1"/>
  <c r="R56" i="14"/>
  <c r="C47" i="16" s="1"/>
  <c r="R63" i="14"/>
  <c r="C54" i="16" s="1"/>
  <c r="I46" i="12"/>
  <c r="I25" i="12"/>
  <c r="R58" i="32"/>
  <c r="E49" i="16" s="1"/>
  <c r="R61" i="32"/>
  <c r="E52" i="16" s="1"/>
  <c r="R61" i="14"/>
  <c r="C52" i="16" s="1"/>
  <c r="F12" i="32"/>
  <c r="G43" i="30"/>
  <c r="G43" i="31"/>
  <c r="F12" i="14"/>
  <c r="G43" i="12"/>
  <c r="R59" i="14"/>
  <c r="C50" i="16"/>
  <c r="R55" i="32"/>
  <c r="E46" i="16" s="1"/>
  <c r="R65" i="14"/>
  <c r="C56" i="16" s="1"/>
  <c r="D36" i="16"/>
  <c r="D23" i="16"/>
  <c r="D16" i="16"/>
  <c r="D29" i="16"/>
  <c r="D64" i="16"/>
  <c r="D59" i="16"/>
  <c r="D41" i="16"/>
  <c r="D15" i="16"/>
  <c r="D61" i="16"/>
  <c r="D62" i="16"/>
  <c r="D53" i="16"/>
  <c r="D34" i="16"/>
  <c r="D57" i="16"/>
  <c r="D72" i="16"/>
  <c r="D28" i="16"/>
  <c r="D12" i="16"/>
  <c r="F13" i="16"/>
  <c r="D21" i="16"/>
  <c r="D56" i="16"/>
  <c r="D51" i="16"/>
  <c r="D33" i="16"/>
  <c r="D63" i="16"/>
  <c r="D54" i="16"/>
  <c r="D35" i="16"/>
  <c r="D65" i="16"/>
  <c r="D32" i="16"/>
  <c r="D47" i="16"/>
  <c r="D71" i="16"/>
  <c r="D19" i="16"/>
  <c r="D70" i="16"/>
  <c r="D20" i="16"/>
  <c r="D11" i="16"/>
  <c r="D30" i="16"/>
  <c r="C16" i="16"/>
  <c r="D48" i="16"/>
  <c r="D43" i="16"/>
  <c r="D25" i="16"/>
  <c r="D68" i="16"/>
  <c r="D58" i="16"/>
  <c r="D40" i="16"/>
  <c r="F12" i="16"/>
  <c r="D38" i="16"/>
  <c r="D60" i="16"/>
  <c r="D42" i="16"/>
  <c r="D24" i="16"/>
  <c r="D46" i="16"/>
  <c r="D50" i="16"/>
  <c r="D45" i="16"/>
  <c r="D69" i="16"/>
  <c r="D39" i="16"/>
  <c r="D13" i="16"/>
  <c r="D44" i="16"/>
  <c r="D31" i="16"/>
  <c r="D26" i="16"/>
  <c r="D37" i="16"/>
  <c r="D67" i="16"/>
  <c r="F11" i="16"/>
  <c r="D49" i="16"/>
  <c r="D55" i="16"/>
  <c r="D27" i="16"/>
  <c r="D52" i="16"/>
  <c r="D22" i="16"/>
  <c r="I46" i="31"/>
  <c r="I25" i="31"/>
  <c r="R62" i="32"/>
  <c r="E53" i="16" s="1"/>
  <c r="R62" i="14"/>
  <c r="C53" i="16" s="1"/>
  <c r="R57" i="14"/>
  <c r="C48" i="16" s="1"/>
  <c r="R65" i="32"/>
  <c r="E56" i="16" s="1"/>
  <c r="R64" i="14"/>
  <c r="C55" i="16" s="1"/>
  <c r="C47" i="14"/>
  <c r="C18" i="14"/>
  <c r="C5" i="14" s="1"/>
  <c r="O12" i="14"/>
  <c r="O18" i="14" s="1"/>
  <c r="E91" i="32"/>
  <c r="E74" i="32"/>
  <c r="R64" i="32"/>
  <c r="E55" i="16" s="1"/>
  <c r="E91" i="14"/>
  <c r="E74" i="14"/>
  <c r="I2" i="21"/>
  <c r="D74" i="32"/>
  <c r="D91" i="32"/>
  <c r="R58" i="14"/>
  <c r="C49" i="16" s="1"/>
  <c r="R63" i="32"/>
  <c r="E54" i="16" s="1"/>
  <c r="F50" i="16"/>
  <c r="F61" i="16"/>
  <c r="F71" i="16"/>
  <c r="F24" i="16"/>
  <c r="F68" i="16"/>
  <c r="F15" i="16"/>
  <c r="F52" i="16"/>
  <c r="F26" i="16"/>
  <c r="F49" i="16"/>
  <c r="F43" i="16"/>
  <c r="F39" i="16"/>
  <c r="F60" i="16"/>
  <c r="F31" i="16"/>
  <c r="F30" i="16"/>
  <c r="F42" i="16"/>
  <c r="F53" i="16"/>
  <c r="F69" i="16"/>
  <c r="F65" i="16"/>
  <c r="F28" i="16"/>
  <c r="F70" i="16"/>
  <c r="F63" i="16"/>
  <c r="F37" i="16"/>
  <c r="F51" i="16"/>
  <c r="F29" i="16"/>
  <c r="F21" i="16"/>
  <c r="F38" i="16"/>
  <c r="F34" i="16"/>
  <c r="F45" i="16"/>
  <c r="F67" i="16"/>
  <c r="F59" i="16"/>
  <c r="F62" i="16"/>
  <c r="F57" i="16"/>
  <c r="F55" i="16"/>
  <c r="F64" i="16"/>
  <c r="F54" i="16"/>
  <c r="F46" i="16"/>
  <c r="F48" i="16"/>
  <c r="F33" i="16"/>
  <c r="E16" i="16"/>
  <c r="F47" i="16"/>
  <c r="F16" i="16"/>
  <c r="F40" i="16"/>
  <c r="F23" i="16"/>
  <c r="F35" i="16"/>
  <c r="F27" i="16"/>
  <c r="F44" i="16"/>
  <c r="F58" i="16"/>
  <c r="F36" i="16"/>
  <c r="F20" i="16"/>
  <c r="F32" i="16"/>
  <c r="F19" i="16"/>
  <c r="F22" i="16"/>
  <c r="F72" i="16"/>
  <c r="F56" i="16"/>
  <c r="F41" i="16"/>
  <c r="F25" i="16"/>
  <c r="Q41" i="31"/>
  <c r="Q41" i="30"/>
  <c r="Q41" i="12"/>
  <c r="J2" i="5"/>
  <c r="I9" i="5"/>
  <c r="H7" i="5"/>
  <c r="H4" i="9" l="1"/>
  <c r="I25" i="30"/>
  <c r="H30" i="22" s="1"/>
  <c r="H44" i="22" s="1"/>
  <c r="D78" i="12"/>
  <c r="D78" i="30"/>
  <c r="D78" i="31"/>
  <c r="O84" i="35"/>
  <c r="D86" i="35"/>
  <c r="I21" i="14"/>
  <c r="I25" i="14" s="1"/>
  <c r="C6" i="35"/>
  <c r="O87" i="35"/>
  <c r="O74" i="35"/>
  <c r="R47" i="35"/>
  <c r="H4" i="6"/>
  <c r="I4" i="29" s="1"/>
  <c r="I53" i="32"/>
  <c r="I21" i="35"/>
  <c r="I25" i="35" s="1"/>
  <c r="I5" i="22"/>
  <c r="W5" i="22" s="1"/>
  <c r="D92" i="35"/>
  <c r="E84" i="35" s="1"/>
  <c r="E86" i="35" s="1"/>
  <c r="E87" i="35" s="1"/>
  <c r="E6" i="35" s="1"/>
  <c r="I27" i="22"/>
  <c r="W27" i="22" s="1"/>
  <c r="J6" i="31"/>
  <c r="J6" i="12"/>
  <c r="J46" i="12" s="1"/>
  <c r="I21" i="32"/>
  <c r="I25" i="32" s="1"/>
  <c r="I3" i="14"/>
  <c r="I3" i="32"/>
  <c r="I3" i="35"/>
  <c r="I53" i="14"/>
  <c r="I53" i="35"/>
  <c r="J53" i="35"/>
  <c r="J21" i="35"/>
  <c r="J25" i="35" s="1"/>
  <c r="J3" i="35"/>
  <c r="J85" i="35" s="1"/>
  <c r="G74" i="35"/>
  <c r="G91" i="35"/>
  <c r="F74" i="35"/>
  <c r="F91" i="35"/>
  <c r="O5" i="32"/>
  <c r="J2" i="21"/>
  <c r="J21" i="32"/>
  <c r="J25" i="32" s="1"/>
  <c r="J53" i="32"/>
  <c r="J27" i="22"/>
  <c r="X27" i="22" s="1"/>
  <c r="J3" i="32"/>
  <c r="J85" i="32" s="1"/>
  <c r="K6" i="31"/>
  <c r="K6" i="30"/>
  <c r="I4" i="6"/>
  <c r="J5" i="22"/>
  <c r="X5" i="22" s="1"/>
  <c r="J53" i="14"/>
  <c r="K6" i="12"/>
  <c r="J21" i="14"/>
  <c r="J25" i="14" s="1"/>
  <c r="J3" i="14"/>
  <c r="J85" i="14" s="1"/>
  <c r="F18" i="32"/>
  <c r="F5" i="32" s="1"/>
  <c r="F47" i="32"/>
  <c r="O18" i="32"/>
  <c r="C64" i="17"/>
  <c r="O47" i="32"/>
  <c r="C91" i="32"/>
  <c r="C92" i="32" s="1"/>
  <c r="C74" i="32"/>
  <c r="C87" i="32" s="1"/>
  <c r="C6" i="32" s="1"/>
  <c r="C7" i="32" s="1"/>
  <c r="D4" i="32" s="1"/>
  <c r="J25" i="31"/>
  <c r="J46" i="31"/>
  <c r="J46" i="30"/>
  <c r="J25" i="30"/>
  <c r="I30" i="22" s="1"/>
  <c r="I44" i="22" s="1"/>
  <c r="G18" i="14"/>
  <c r="G5" i="14" s="1"/>
  <c r="H4" i="5" s="1"/>
  <c r="G47" i="14"/>
  <c r="D4" i="5"/>
  <c r="F16" i="5" s="1"/>
  <c r="O5" i="14"/>
  <c r="C91" i="14"/>
  <c r="C92" i="14" s="1"/>
  <c r="O47" i="14"/>
  <c r="C74" i="14"/>
  <c r="C87" i="14" s="1"/>
  <c r="C6" i="14" s="1"/>
  <c r="H7" i="22"/>
  <c r="H22" i="22" s="1"/>
  <c r="H12" i="35" s="1"/>
  <c r="F18" i="14"/>
  <c r="F5" i="14" s="1"/>
  <c r="G4" i="5" s="1"/>
  <c r="F47" i="14"/>
  <c r="G18" i="32"/>
  <c r="G5" i="32" s="1"/>
  <c r="G47" i="32"/>
  <c r="H8" i="5"/>
  <c r="I7" i="5"/>
  <c r="K2" i="5"/>
  <c r="J9" i="5"/>
  <c r="E92" i="35" l="1"/>
  <c r="F84" i="35" s="1"/>
  <c r="F86" i="35" s="1"/>
  <c r="F87" i="35" s="1"/>
  <c r="F6" i="35" s="1"/>
  <c r="O6" i="35"/>
  <c r="C7" i="35"/>
  <c r="D4" i="35" s="1"/>
  <c r="I4" i="9"/>
  <c r="O86" i="35"/>
  <c r="D87" i="35"/>
  <c r="D6" i="35" s="1"/>
  <c r="D7" i="35" s="1"/>
  <c r="E4" i="35" s="1"/>
  <c r="E7" i="35" s="1"/>
  <c r="F4" i="35" s="1"/>
  <c r="O92" i="35"/>
  <c r="J25" i="12"/>
  <c r="H47" i="35"/>
  <c r="H18" i="35"/>
  <c r="H5" i="35" s="1"/>
  <c r="K53" i="35"/>
  <c r="K3" i="35"/>
  <c r="K85" i="35" s="1"/>
  <c r="K21" i="35"/>
  <c r="K25" i="35" s="1"/>
  <c r="K2" i="21"/>
  <c r="K21" i="32"/>
  <c r="K25" i="32" s="1"/>
  <c r="K53" i="32"/>
  <c r="K3" i="32"/>
  <c r="K85" i="32" s="1"/>
  <c r="L6" i="31"/>
  <c r="L6" i="30"/>
  <c r="K27" i="22"/>
  <c r="Y27" i="22" s="1"/>
  <c r="K21" i="14"/>
  <c r="K25" i="14" s="1"/>
  <c r="K5" i="22"/>
  <c r="Y5" i="22" s="1"/>
  <c r="K53" i="14"/>
  <c r="J4" i="6"/>
  <c r="L6" i="12"/>
  <c r="K3" i="14"/>
  <c r="K85" i="14" s="1"/>
  <c r="H12" i="32"/>
  <c r="I43" i="30"/>
  <c r="I43" i="31"/>
  <c r="H12" i="14"/>
  <c r="I43" i="12"/>
  <c r="J4" i="29"/>
  <c r="J4" i="9"/>
  <c r="P4" i="5"/>
  <c r="G74" i="32"/>
  <c r="G91" i="32"/>
  <c r="C7" i="14"/>
  <c r="D4" i="14" s="1"/>
  <c r="E3" i="5" s="1"/>
  <c r="D5" i="5"/>
  <c r="P5" i="5" s="1"/>
  <c r="F74" i="32"/>
  <c r="F91" i="32"/>
  <c r="K25" i="30"/>
  <c r="J30" i="22" s="1"/>
  <c r="J44" i="22" s="1"/>
  <c r="K46" i="30"/>
  <c r="K46" i="12"/>
  <c r="K25" i="12"/>
  <c r="R47" i="14"/>
  <c r="C39" i="16" s="1"/>
  <c r="C65" i="16" s="1"/>
  <c r="C67" i="16" s="1"/>
  <c r="C70" i="16" s="1"/>
  <c r="O74" i="14"/>
  <c r="P4" i="21" s="1"/>
  <c r="K25" i="31"/>
  <c r="K46" i="31"/>
  <c r="I7" i="22"/>
  <c r="I22" i="22" s="1"/>
  <c r="I12" i="35" s="1"/>
  <c r="F74" i="14"/>
  <c r="F91" i="14"/>
  <c r="D84" i="14"/>
  <c r="D86" i="14" s="1"/>
  <c r="D87" i="14" s="1"/>
  <c r="D6" i="14" s="1"/>
  <c r="E5" i="5" s="1"/>
  <c r="E6" i="5" s="1"/>
  <c r="G74" i="14"/>
  <c r="G91" i="14"/>
  <c r="D84" i="32"/>
  <c r="D86" i="32" s="1"/>
  <c r="D87" i="32" s="1"/>
  <c r="D6" i="32" s="1"/>
  <c r="D7" i="32" s="1"/>
  <c r="E4" i="32" s="1"/>
  <c r="R47" i="32"/>
  <c r="E39" i="16" s="1"/>
  <c r="E65" i="16" s="1"/>
  <c r="O74" i="32"/>
  <c r="L2" i="5"/>
  <c r="K9" i="5"/>
  <c r="I8" i="5"/>
  <c r="J7" i="5"/>
  <c r="F92" i="35" l="1"/>
  <c r="G84" i="35" s="1"/>
  <c r="G86" i="35" s="1"/>
  <c r="G87" i="35" s="1"/>
  <c r="G6" i="35" s="1"/>
  <c r="D92" i="32"/>
  <c r="E84" i="32" s="1"/>
  <c r="E92" i="32" s="1"/>
  <c r="D92" i="14"/>
  <c r="E84" i="14" s="1"/>
  <c r="E86" i="14" s="1"/>
  <c r="E87" i="14" s="1"/>
  <c r="E6" i="14" s="1"/>
  <c r="F5" i="5" s="1"/>
  <c r="F6" i="5" s="1"/>
  <c r="F7" i="35"/>
  <c r="G4" i="35" s="1"/>
  <c r="I47" i="35"/>
  <c r="I18" i="35"/>
  <c r="I5" i="35" s="1"/>
  <c r="L53" i="35"/>
  <c r="L21" i="35"/>
  <c r="L25" i="35" s="1"/>
  <c r="L3" i="35"/>
  <c r="H74" i="35"/>
  <c r="H91" i="35"/>
  <c r="G19" i="21"/>
  <c r="G20" i="21" s="1"/>
  <c r="G25" i="21" s="1"/>
  <c r="E71" i="16"/>
  <c r="E67" i="16"/>
  <c r="E70" i="16" s="1"/>
  <c r="E9" i="19"/>
  <c r="B5" i="19"/>
  <c r="B10" i="19" s="1"/>
  <c r="E5" i="20"/>
  <c r="A7" i="20" s="1"/>
  <c r="F11" i="19"/>
  <c r="C8" i="19" s="1"/>
  <c r="L46" i="12"/>
  <c r="L25" i="12"/>
  <c r="K4" i="29"/>
  <c r="K4" i="9"/>
  <c r="D7" i="14"/>
  <c r="E4" i="14" s="1"/>
  <c r="H18" i="14"/>
  <c r="H5" i="14" s="1"/>
  <c r="I4" i="5" s="1"/>
  <c r="H47" i="14"/>
  <c r="J43" i="30"/>
  <c r="J43" i="31"/>
  <c r="I12" i="32"/>
  <c r="J43" i="12"/>
  <c r="I12" i="14"/>
  <c r="L2" i="21"/>
  <c r="L21" i="32"/>
  <c r="L25" i="32" s="1"/>
  <c r="L53" i="32"/>
  <c r="L3" i="32"/>
  <c r="M6" i="31"/>
  <c r="M6" i="30"/>
  <c r="L27" i="22"/>
  <c r="Z27" i="22" s="1"/>
  <c r="L5" i="22"/>
  <c r="Z5" i="22" s="1"/>
  <c r="M6" i="12"/>
  <c r="L53" i="14"/>
  <c r="L21" i="14"/>
  <c r="L25" i="14" s="1"/>
  <c r="L3" i="14"/>
  <c r="K4" i="6"/>
  <c r="L25" i="31"/>
  <c r="L46" i="31"/>
  <c r="J7" i="22"/>
  <c r="J22" i="22" s="1"/>
  <c r="J12" i="35" s="1"/>
  <c r="D6" i="5"/>
  <c r="P6" i="5" s="1"/>
  <c r="H47" i="32"/>
  <c r="H18" i="32"/>
  <c r="H5" i="32" s="1"/>
  <c r="L25" i="30"/>
  <c r="K30" i="22" s="1"/>
  <c r="K44" i="22" s="1"/>
  <c r="L46" i="30"/>
  <c r="K7" i="22"/>
  <c r="K22" i="22" s="1"/>
  <c r="K12" i="35" s="1"/>
  <c r="K7" i="5"/>
  <c r="J8" i="5"/>
  <c r="L9" i="5"/>
  <c r="M2" i="5"/>
  <c r="G7" i="35" l="1"/>
  <c r="H4" i="35" s="1"/>
  <c r="G92" i="35"/>
  <c r="H84" i="35" s="1"/>
  <c r="H86" i="35" s="1"/>
  <c r="H87" i="35" s="1"/>
  <c r="H6" i="35" s="1"/>
  <c r="E86" i="32"/>
  <c r="E87" i="32" s="1"/>
  <c r="E6" i="32" s="1"/>
  <c r="E7" i="32" s="1"/>
  <c r="F4" i="32" s="1"/>
  <c r="L85" i="14"/>
  <c r="L85" i="32"/>
  <c r="J47" i="35"/>
  <c r="J18" i="35"/>
  <c r="J5" i="35" s="1"/>
  <c r="E92" i="14"/>
  <c r="F84" i="14" s="1"/>
  <c r="F86" i="14" s="1"/>
  <c r="F87" i="14" s="1"/>
  <c r="F6" i="14" s="1"/>
  <c r="G5" i="5" s="1"/>
  <c r="G6" i="5" s="1"/>
  <c r="K18" i="35"/>
  <c r="K5" i="35" s="1"/>
  <c r="K47" i="35"/>
  <c r="I74" i="35"/>
  <c r="I91" i="35"/>
  <c r="M53" i="35"/>
  <c r="M21" i="35"/>
  <c r="M25" i="35" s="1"/>
  <c r="M3" i="35"/>
  <c r="M85" i="35" s="1"/>
  <c r="L85" i="35"/>
  <c r="I85" i="35"/>
  <c r="F85" i="35"/>
  <c r="O85" i="35" s="1"/>
  <c r="M46" i="31"/>
  <c r="M25" i="31"/>
  <c r="H74" i="32"/>
  <c r="H91" i="32"/>
  <c r="F3" i="5"/>
  <c r="E7" i="14"/>
  <c r="F4" i="14" s="1"/>
  <c r="M46" i="30"/>
  <c r="M25" i="30"/>
  <c r="L30" i="22" s="1"/>
  <c r="L44" i="22" s="1"/>
  <c r="I47" i="32"/>
  <c r="I18" i="32"/>
  <c r="I5" i="32" s="1"/>
  <c r="F84" i="32"/>
  <c r="F86" i="32" s="1"/>
  <c r="F87" i="32" s="1"/>
  <c r="F6" i="32" s="1"/>
  <c r="L43" i="31"/>
  <c r="K12" i="32"/>
  <c r="L43" i="30"/>
  <c r="L43" i="12"/>
  <c r="K12" i="14"/>
  <c r="H74" i="14"/>
  <c r="H91" i="14"/>
  <c r="E72" i="16"/>
  <c r="H73" i="17" s="1"/>
  <c r="H19" i="21"/>
  <c r="H20" i="21" s="1"/>
  <c r="H25" i="21" s="1"/>
  <c r="K43" i="30"/>
  <c r="K43" i="31"/>
  <c r="J12" i="32"/>
  <c r="K43" i="12"/>
  <c r="J12" i="14"/>
  <c r="M46" i="12"/>
  <c r="M25" i="12"/>
  <c r="M2" i="21"/>
  <c r="M21" i="32"/>
  <c r="M25" i="32" s="1"/>
  <c r="M53" i="32"/>
  <c r="M3" i="32"/>
  <c r="M85" i="32" s="1"/>
  <c r="N6" i="31"/>
  <c r="N6" i="30"/>
  <c r="M27" i="22"/>
  <c r="AA27" i="22" s="1"/>
  <c r="M5" i="22"/>
  <c r="AA5" i="22" s="1"/>
  <c r="M53" i="14"/>
  <c r="N6" i="12"/>
  <c r="M21" i="14"/>
  <c r="M25" i="14" s="1"/>
  <c r="M3" i="14"/>
  <c r="M85" i="14" s="1"/>
  <c r="L4" i="6"/>
  <c r="I47" i="14"/>
  <c r="I18" i="14"/>
  <c r="I5" i="14" s="1"/>
  <c r="J4" i="5" s="1"/>
  <c r="C71" i="16"/>
  <c r="F85" i="32"/>
  <c r="O85" i="32" s="1"/>
  <c r="F85" i="14"/>
  <c r="O85" i="14" s="1"/>
  <c r="I85" i="14"/>
  <c r="I85" i="32"/>
  <c r="L4" i="29"/>
  <c r="L4" i="9"/>
  <c r="M9" i="5"/>
  <c r="N2" i="5"/>
  <c r="L7" i="5"/>
  <c r="K8" i="5"/>
  <c r="H7" i="35" l="1"/>
  <c r="I4" i="35" s="1"/>
  <c r="F7" i="32"/>
  <c r="G4" i="32" s="1"/>
  <c r="H92" i="35"/>
  <c r="I84" i="35" s="1"/>
  <c r="I86" i="35" s="1"/>
  <c r="I87" i="35" s="1"/>
  <c r="I6" i="35" s="1"/>
  <c r="N3" i="35"/>
  <c r="N85" i="35" s="1"/>
  <c r="N53" i="35"/>
  <c r="N21" i="35"/>
  <c r="N25" i="35" s="1"/>
  <c r="K74" i="35"/>
  <c r="K91" i="35"/>
  <c r="J74" i="35"/>
  <c r="J91" i="35"/>
  <c r="F92" i="14"/>
  <c r="G84" i="14" s="1"/>
  <c r="G86" i="14" s="1"/>
  <c r="G87" i="14" s="1"/>
  <c r="G6" i="14" s="1"/>
  <c r="H5" i="5" s="1"/>
  <c r="H6" i="5" s="1"/>
  <c r="N25" i="30"/>
  <c r="M30" i="22" s="1"/>
  <c r="M44" i="22" s="1"/>
  <c r="N46" i="30"/>
  <c r="J47" i="14"/>
  <c r="J18" i="14"/>
  <c r="J5" i="14" s="1"/>
  <c r="K4" i="5" s="1"/>
  <c r="F92" i="32"/>
  <c r="H34" i="17"/>
  <c r="H63" i="17" s="1"/>
  <c r="C72" i="16"/>
  <c r="H44" i="17" s="1"/>
  <c r="I45" i="17" s="1"/>
  <c r="H72" i="17" s="1"/>
  <c r="I74" i="17" s="1"/>
  <c r="I74" i="14"/>
  <c r="I91" i="14"/>
  <c r="N25" i="31"/>
  <c r="N46" i="31"/>
  <c r="M4" i="29"/>
  <c r="M4" i="9"/>
  <c r="J47" i="32"/>
  <c r="J18" i="32"/>
  <c r="J5" i="32" s="1"/>
  <c r="K47" i="14"/>
  <c r="K18" i="14"/>
  <c r="K5" i="14" s="1"/>
  <c r="L4" i="5" s="1"/>
  <c r="I74" i="32"/>
  <c r="I91" i="32"/>
  <c r="N46" i="12"/>
  <c r="N25" i="12"/>
  <c r="M7" i="22" s="1"/>
  <c r="M22" i="22" s="1"/>
  <c r="M12" i="35" s="1"/>
  <c r="N53" i="32"/>
  <c r="N3" i="32"/>
  <c r="N85" i="32" s="1"/>
  <c r="O6" i="31"/>
  <c r="O6" i="30"/>
  <c r="N27" i="22"/>
  <c r="AB27" i="22" s="1"/>
  <c r="N21" i="32"/>
  <c r="N25" i="32" s="1"/>
  <c r="N5" i="22"/>
  <c r="AB5" i="22" s="1"/>
  <c r="O6" i="12"/>
  <c r="N53" i="14"/>
  <c r="N21" i="14"/>
  <c r="N25" i="14" s="1"/>
  <c r="N3" i="14"/>
  <c r="N85" i="14" s="1"/>
  <c r="M4" i="6"/>
  <c r="L7" i="22"/>
  <c r="L22" i="22" s="1"/>
  <c r="L12" i="35" s="1"/>
  <c r="K47" i="32"/>
  <c r="K18" i="32"/>
  <c r="K5" i="32" s="1"/>
  <c r="G3" i="5"/>
  <c r="F7" i="14"/>
  <c r="G4" i="14" s="1"/>
  <c r="H3" i="5" s="1"/>
  <c r="N9" i="5"/>
  <c r="O2" i="5"/>
  <c r="O9" i="5" s="1"/>
  <c r="M7" i="5"/>
  <c r="L8" i="5"/>
  <c r="I92" i="35" l="1"/>
  <c r="J84" i="35" s="1"/>
  <c r="J86" i="35" s="1"/>
  <c r="J87" i="35" s="1"/>
  <c r="J6" i="35" s="1"/>
  <c r="M18" i="35"/>
  <c r="M5" i="35" s="1"/>
  <c r="M47" i="35"/>
  <c r="L18" i="35"/>
  <c r="L5" i="35" s="1"/>
  <c r="L47" i="35"/>
  <c r="G92" i="14"/>
  <c r="H84" i="14" s="1"/>
  <c r="H86" i="14" s="1"/>
  <c r="H87" i="14" s="1"/>
  <c r="H6" i="14" s="1"/>
  <c r="I5" i="5" s="1"/>
  <c r="I6" i="5" s="1"/>
  <c r="I7" i="35"/>
  <c r="G7" i="14"/>
  <c r="H4" i="14" s="1"/>
  <c r="I3" i="5" s="1"/>
  <c r="M12" i="32"/>
  <c r="N43" i="30"/>
  <c r="N43" i="31"/>
  <c r="M12" i="14"/>
  <c r="N43" i="12"/>
  <c r="J74" i="32"/>
  <c r="J91" i="32"/>
  <c r="O25" i="31"/>
  <c r="O46" i="31"/>
  <c r="O25" i="30"/>
  <c r="N30" i="22" s="1"/>
  <c r="N44" i="22" s="1"/>
  <c r="O46" i="30"/>
  <c r="G84" i="32"/>
  <c r="G86" i="32" s="1"/>
  <c r="G87" i="32" s="1"/>
  <c r="G6" i="32" s="1"/>
  <c r="G7" i="32" s="1"/>
  <c r="H4" i="32" s="1"/>
  <c r="K74" i="14"/>
  <c r="K91" i="14"/>
  <c r="J74" i="14"/>
  <c r="J91" i="14"/>
  <c r="K74" i="32"/>
  <c r="K91" i="32"/>
  <c r="N4" i="29"/>
  <c r="N4" i="9"/>
  <c r="M43" i="31"/>
  <c r="L12" i="32"/>
  <c r="M43" i="30"/>
  <c r="L12" i="14"/>
  <c r="M43" i="12"/>
  <c r="O46" i="12"/>
  <c r="O25" i="12"/>
  <c r="M8" i="5"/>
  <c r="N7" i="5"/>
  <c r="J92" i="35" l="1"/>
  <c r="K84" i="35" s="1"/>
  <c r="K86" i="35" s="1"/>
  <c r="K87" i="35" s="1"/>
  <c r="K6" i="35" s="1"/>
  <c r="L74" i="35"/>
  <c r="L91" i="35"/>
  <c r="M74" i="35"/>
  <c r="M91" i="35"/>
  <c r="J4" i="35"/>
  <c r="J7" i="35" s="1"/>
  <c r="K4" i="35" s="1"/>
  <c r="G92" i="32"/>
  <c r="H84" i="32" s="1"/>
  <c r="H86" i="32" s="1"/>
  <c r="H87" i="32" s="1"/>
  <c r="H6" i="32" s="1"/>
  <c r="H7" i="32" s="1"/>
  <c r="I4" i="32" s="1"/>
  <c r="H92" i="14"/>
  <c r="M47" i="14"/>
  <c r="M18" i="14"/>
  <c r="M5" i="14" s="1"/>
  <c r="N4" i="5" s="1"/>
  <c r="E29" i="22"/>
  <c r="E44" i="22" s="1"/>
  <c r="D29" i="22"/>
  <c r="D44" i="22" s="1"/>
  <c r="C29" i="22"/>
  <c r="L47" i="14"/>
  <c r="L18" i="14"/>
  <c r="L5" i="14" s="1"/>
  <c r="M4" i="5" s="1"/>
  <c r="H7" i="14"/>
  <c r="I4" i="14" s="1"/>
  <c r="M47" i="32"/>
  <c r="M18" i="32"/>
  <c r="M5" i="32" s="1"/>
  <c r="L47" i="32"/>
  <c r="L18" i="32"/>
  <c r="L5" i="32" s="1"/>
  <c r="N7" i="22"/>
  <c r="N22" i="22" s="1"/>
  <c r="N12" i="35" s="1"/>
  <c r="N8" i="5"/>
  <c r="O7" i="5"/>
  <c r="N18" i="35" l="1"/>
  <c r="N5" i="35" s="1"/>
  <c r="N47" i="35"/>
  <c r="K7" i="35"/>
  <c r="K92" i="35"/>
  <c r="H92" i="32"/>
  <c r="M74" i="14"/>
  <c r="M91" i="14"/>
  <c r="L74" i="32"/>
  <c r="L91" i="32"/>
  <c r="M74" i="32"/>
  <c r="M91" i="32"/>
  <c r="J3" i="5"/>
  <c r="I84" i="32"/>
  <c r="I86" i="32" s="1"/>
  <c r="I87" i="32" s="1"/>
  <c r="I6" i="32" s="1"/>
  <c r="I7" i="32" s="1"/>
  <c r="J4" i="32" s="1"/>
  <c r="L74" i="14"/>
  <c r="L91" i="14"/>
  <c r="I84" i="14"/>
  <c r="I86" i="14" s="1"/>
  <c r="I87" i="14" s="1"/>
  <c r="I6" i="14" s="1"/>
  <c r="J5" i="5" s="1"/>
  <c r="J6" i="5" s="1"/>
  <c r="J18" i="5" s="1"/>
  <c r="N12" i="32"/>
  <c r="O43" i="30"/>
  <c r="O43" i="31"/>
  <c r="N12" i="14"/>
  <c r="O43" i="12"/>
  <c r="C44" i="22"/>
  <c r="O29" i="22"/>
  <c r="O44" i="22" s="1"/>
  <c r="O8" i="5"/>
  <c r="F17" i="5"/>
  <c r="N18" i="5"/>
  <c r="H18" i="5"/>
  <c r="L16" i="5"/>
  <c r="N17" i="5"/>
  <c r="F18" i="5"/>
  <c r="N16" i="5"/>
  <c r="H16" i="5"/>
  <c r="H17" i="5"/>
  <c r="J16" i="5"/>
  <c r="L84" i="35" l="1"/>
  <c r="L86" i="35" s="1"/>
  <c r="L87" i="35" s="1"/>
  <c r="L6" i="35" s="1"/>
  <c r="L4" i="35"/>
  <c r="N74" i="35"/>
  <c r="N91" i="35"/>
  <c r="I92" i="32"/>
  <c r="J84" i="32" s="1"/>
  <c r="J86" i="32" s="1"/>
  <c r="J87" i="32" s="1"/>
  <c r="J6" i="32" s="1"/>
  <c r="J7" i="32" s="1"/>
  <c r="K4" i="32" s="1"/>
  <c r="N18" i="14"/>
  <c r="N5" i="14" s="1"/>
  <c r="O4" i="5" s="1"/>
  <c r="N47" i="14"/>
  <c r="J17" i="5"/>
  <c r="N18" i="32"/>
  <c r="N5" i="32" s="1"/>
  <c r="N47" i="32"/>
  <c r="I92" i="14"/>
  <c r="I7" i="14"/>
  <c r="J4" i="14" s="1"/>
  <c r="K3" i="5" s="1"/>
  <c r="L7" i="35" l="1"/>
  <c r="M4" i="35" s="1"/>
  <c r="L92" i="35"/>
  <c r="M84" i="35" s="1"/>
  <c r="M86" i="35" s="1"/>
  <c r="M87" i="35" s="1"/>
  <c r="M6" i="35" s="1"/>
  <c r="J92" i="32"/>
  <c r="K84" i="32" s="1"/>
  <c r="K86" i="32" s="1"/>
  <c r="K87" i="32" s="1"/>
  <c r="K6" i="32" s="1"/>
  <c r="K7" i="32" s="1"/>
  <c r="J84" i="14"/>
  <c r="J86" i="14" s="1"/>
  <c r="J87" i="14" s="1"/>
  <c r="J6" i="14" s="1"/>
  <c r="N74" i="32"/>
  <c r="N91" i="32"/>
  <c r="N74" i="14"/>
  <c r="N91" i="14"/>
  <c r="M7" i="35" l="1"/>
  <c r="N4" i="35" s="1"/>
  <c r="K92" i="32"/>
  <c r="L84" i="32" s="1"/>
  <c r="L86" i="32" s="1"/>
  <c r="L87" i="32" s="1"/>
  <c r="L6" i="32" s="1"/>
  <c r="M92" i="35"/>
  <c r="J92" i="14"/>
  <c r="K84" i="14"/>
  <c r="K86" i="14" s="1"/>
  <c r="K87" i="14" s="1"/>
  <c r="K6" i="14" s="1"/>
  <c r="L5" i="5" s="1"/>
  <c r="L6" i="5" s="1"/>
  <c r="J7" i="14"/>
  <c r="K4" i="14" s="1"/>
  <c r="K5" i="5"/>
  <c r="K6" i="5" s="1"/>
  <c r="L4" i="32"/>
  <c r="N84" i="35" l="1"/>
  <c r="N86" i="35" s="1"/>
  <c r="N87" i="35" s="1"/>
  <c r="N6" i="35" s="1"/>
  <c r="N7" i="35" s="1"/>
  <c r="K92" i="14"/>
  <c r="L3" i="5"/>
  <c r="K7" i="14"/>
  <c r="L4" i="14" s="1"/>
  <c r="L84" i="14"/>
  <c r="L86" i="14" s="1"/>
  <c r="L87" i="14" s="1"/>
  <c r="L6" i="14" s="1"/>
  <c r="M5" i="5" s="1"/>
  <c r="L92" i="32"/>
  <c r="L7" i="32"/>
  <c r="O84" i="14"/>
  <c r="O92" i="14" s="1"/>
  <c r="N92" i="35" l="1"/>
  <c r="R92" i="35" s="1"/>
  <c r="O7" i="35"/>
  <c r="P7" i="35"/>
  <c r="L92" i="14"/>
  <c r="M84" i="14" s="1"/>
  <c r="M86" i="14" s="1"/>
  <c r="M87" i="14" s="1"/>
  <c r="M6" i="14" s="1"/>
  <c r="H33" i="17"/>
  <c r="I34" i="17" s="1"/>
  <c r="I57" i="17" s="1"/>
  <c r="M3" i="5"/>
  <c r="L7" i="14"/>
  <c r="M4" i="14" s="1"/>
  <c r="N3" i="5" s="1"/>
  <c r="M6" i="5"/>
  <c r="L18" i="5" s="1"/>
  <c r="L17" i="5"/>
  <c r="M4" i="32"/>
  <c r="M84" i="32"/>
  <c r="M86" i="32" s="1"/>
  <c r="M87" i="32" s="1"/>
  <c r="M6" i="32" s="1"/>
  <c r="O86" i="14"/>
  <c r="M92" i="14" l="1"/>
  <c r="N84" i="14" s="1"/>
  <c r="M7" i="14"/>
  <c r="N4" i="14" s="1"/>
  <c r="O3" i="5" s="1"/>
  <c r="N5" i="5"/>
  <c r="N6" i="5" s="1"/>
  <c r="M92" i="32"/>
  <c r="M7" i="32"/>
  <c r="O87" i="14"/>
  <c r="N92" i="14" l="1"/>
  <c r="R92" i="14" s="1"/>
  <c r="N86" i="14"/>
  <c r="N87" i="14" s="1"/>
  <c r="N6" i="14" s="1"/>
  <c r="O5" i="5" s="1"/>
  <c r="O6" i="5" s="1"/>
  <c r="N4" i="32"/>
  <c r="N84" i="32"/>
  <c r="O6" i="14"/>
  <c r="N7" i="14" l="1"/>
  <c r="C33" i="17" s="1"/>
  <c r="D35" i="17" s="1"/>
  <c r="D57" i="17" s="1"/>
  <c r="J57" i="17" s="1"/>
  <c r="E58" i="17" s="1"/>
  <c r="N86" i="32"/>
  <c r="O84" i="32"/>
  <c r="O92" i="32" s="1"/>
  <c r="N92" i="32"/>
  <c r="O7" i="14" l="1"/>
  <c r="P7" i="14"/>
  <c r="R92" i="32"/>
  <c r="H62" i="17"/>
  <c r="I63" i="17" s="1"/>
  <c r="I86" i="17" s="1"/>
  <c r="N87" i="32"/>
  <c r="O86" i="32"/>
  <c r="N6" i="32" l="1"/>
  <c r="O87" i="32"/>
  <c r="O6" i="32" l="1"/>
  <c r="N7" i="32"/>
  <c r="C62" i="17" s="1"/>
  <c r="D64" i="17" s="1"/>
  <c r="D86" i="17" s="1"/>
  <c r="J86" i="17" s="1"/>
  <c r="E87" i="17" s="1"/>
  <c r="O7" i="32" l="1"/>
  <c r="P7"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Sophia Amos</author>
  </authors>
  <commentList>
    <comment ref="P26" authorId="0" shapeId="0" xr:uid="{29E157F1-C812-41DB-BD4B-A18EC19D4715}">
      <text>
        <r>
          <rPr>
            <b/>
            <sz val="9"/>
            <color indexed="81"/>
            <rFont val="Tahoma"/>
            <family val="2"/>
          </rPr>
          <t>Sophia Amos: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Sophia Amos</author>
  </authors>
  <commentList>
    <comment ref="P26" authorId="0" shapeId="0" xr:uid="{C373F882-17EC-43AD-A148-F5B03B1A7AD4}">
      <text>
        <r>
          <rPr>
            <b/>
            <sz val="9"/>
            <color indexed="81"/>
            <rFont val="Tahoma"/>
            <family val="2"/>
          </rPr>
          <t>Sophia Amos: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Sophia Amos</author>
  </authors>
  <commentList>
    <comment ref="P26" authorId="0" shapeId="0" xr:uid="{D369BCFD-D894-40ED-86F8-B42C2756785D}">
      <text>
        <r>
          <rPr>
            <b/>
            <sz val="9"/>
            <color indexed="81"/>
            <rFont val="Tahoma"/>
            <family val="2"/>
          </rPr>
          <t>Sophia Amos:</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Super</author>
  </authors>
  <commentList>
    <comment ref="F6" authorId="0" shapeId="0" xr:uid="{69731972-EB4D-4C46-ADEC-487D181B45EC}">
      <text>
        <r>
          <rPr>
            <b/>
            <sz val="9"/>
            <color indexed="81"/>
            <rFont val="Tahoma"/>
            <family val="2"/>
          </rPr>
          <t>Enter the minimum profit this business is expected to earn in a year.</t>
        </r>
      </text>
    </comment>
    <comment ref="F7" authorId="0" shapeId="0" xr:uid="{D104C80D-EE0C-4E46-951E-1B0DFB09D319}">
      <text>
        <r>
          <rPr>
            <b/>
            <sz val="9"/>
            <color indexed="81"/>
            <rFont val="Tahoma"/>
            <family val="2"/>
          </rPr>
          <t>Enter the intended average hourly rate to be charged on jobs.</t>
        </r>
      </text>
    </comment>
    <comment ref="B9" authorId="0" shapeId="0" xr:uid="{1738BBDC-3F30-43A3-8FA6-F0950F41AD52}">
      <text>
        <r>
          <rPr>
            <b/>
            <sz val="9"/>
            <color indexed="81"/>
            <rFont val="Tahoma"/>
            <family val="2"/>
          </rPr>
          <t xml:space="preserve">Select to show breakeven analysis by week, month or annually. </t>
        </r>
      </text>
    </comment>
    <comment ref="F15" authorId="0" shapeId="0" xr:uid="{B97FF587-C63E-428B-A953-DC46DB164624}">
      <text>
        <r>
          <rPr>
            <b/>
            <sz val="9"/>
            <color indexed="81"/>
            <rFont val="Tahoma"/>
            <family val="2"/>
          </rPr>
          <t>Enter the number of weeks in the year the business would normally be open.</t>
        </r>
      </text>
    </comment>
    <comment ref="F16" authorId="0" shapeId="0" xr:uid="{5814FC01-1F74-47E8-8C4A-E8AA5F67C42D}">
      <text>
        <r>
          <rPr>
            <b/>
            <sz val="9"/>
            <color indexed="81"/>
            <rFont val="Tahoma"/>
            <family val="2"/>
          </rPr>
          <t>Enter the number of normal trading days in a week.</t>
        </r>
      </text>
    </comment>
    <comment ref="F18" authorId="0" shapeId="0" xr:uid="{F428C9B7-EB37-4B8F-BC74-903753BB251E}">
      <text>
        <r>
          <rPr>
            <b/>
            <sz val="9"/>
            <color indexed="81"/>
            <rFont val="Tahoma"/>
            <family val="2"/>
          </rPr>
          <t>Enter the normal hours in a working day.</t>
        </r>
      </text>
    </comment>
    <comment ref="G19" authorId="0" shapeId="0" xr:uid="{EB855DF3-74DA-44D8-8201-12788033E664}">
      <text>
        <r>
          <rPr>
            <b/>
            <sz val="9"/>
            <color indexed="81"/>
            <rFont val="Tahoma"/>
            <family val="2"/>
          </rPr>
          <t>Enter the full time equivalent of the number of people working in the business including administrative staff.</t>
        </r>
      </text>
    </comment>
    <comment ref="F20" authorId="0" shapeId="0" xr:uid="{E8814880-D123-40CF-AB89-DB1B6EA87A58}">
      <text>
        <r>
          <rPr>
            <b/>
            <sz val="9"/>
            <color indexed="81"/>
            <rFont val="Tahoma"/>
            <family val="2"/>
          </rPr>
          <t>Enter the number of hours in a normal working week spent by staff not working on client jobs.</t>
        </r>
      </text>
    </comment>
    <comment ref="F24" authorId="0" shapeId="0" xr:uid="{B4CC015F-8053-4D73-A42D-DD0117B3D5F8}">
      <text>
        <r>
          <rPr>
            <b/>
            <sz val="9"/>
            <color indexed="81"/>
            <rFont val="Tahoma"/>
            <family val="2"/>
          </rPr>
          <t>What percentage of potential productive hours would be charged to client jobs?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Super</author>
  </authors>
  <commentList>
    <comment ref="J5" authorId="0" shapeId="0" xr:uid="{A04F8538-4621-495C-BA66-F22545ACD792}">
      <text>
        <r>
          <rPr>
            <b/>
            <sz val="9"/>
            <color indexed="81"/>
            <rFont val="Tahoma"/>
            <family val="2"/>
          </rPr>
          <t>Enter the minimum profit this business is expected to earn in a year.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044DF4-ABDC-4F84-95A8-8002BED02125}"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<sst xmlns="http://schemas.openxmlformats.org/spreadsheetml/2006/main" count="1130" uniqueCount="478">
  <si>
    <t>IMPORTANT INFORMATION</t>
  </si>
  <si>
    <t>INSTRUCTIONS TO ASSIST IN COMPLETING THE SPREADSHEET FOR YOUR BUSINESS</t>
  </si>
  <si>
    <r>
      <t xml:space="preserve">Note when filling in the spreadsheet, you are only able to enter data into yellow cells.  Other sheets are linked and update according to your inputs. For example, when you enter your business name on the Set Up Details sheet, it flows onto all the other sheets. </t>
    </r>
    <r>
      <rPr>
        <b/>
        <sz val="10"/>
        <rFont val="Arial"/>
        <family val="2"/>
      </rPr>
      <t xml:space="preserve"> Only WHOLE NUMBERS will be calculated and FIGURES will be ROUND (ie if you enter $19.95 it will show as $20). REMEMBER THESE ARE ESTIMATES.</t>
    </r>
  </si>
  <si>
    <t>Step 1</t>
  </si>
  <si>
    <t xml:space="preserve">Go to the Set Up Details tab and enter known details. </t>
  </si>
  <si>
    <t>Step 2</t>
  </si>
  <si>
    <t>Personal Cash Flow is used for all your personal expenses.  Where expenses are both personal and business such as your phone, you need to determine the amount of the expense and insert the total amount in cells O44-O57 appropriately.  Then next to the total amount in column P, enter the frequency of payment from the drop-down list. Finally in column Q enter the % of personal use.  For example, if your mobile phone plan is $60 per month, and you believe that it will have 30% personal and 70% business use, enter 60 into cell O47, select 'monthly' at P47 and 30% in cell Q47.  This process automatically updates the business Cash Flow Year 1 and Year 2 sheet for the business proportions on lines 54-67.  Noting in Cash flow Year 2, there will be a CPI adjustment to anticipate the rising cost of expenses.</t>
  </si>
  <si>
    <t>Step 3</t>
  </si>
  <si>
    <t xml:space="preserve">Go to the Sales Details tab. Initially focus on your main product or service names and enter details in cell A6-A20, accordingly. You will then need to populate the relevant information including the price, trading terms, and payment method.  If it is a service there is no need to enter anything in the 'Cost of Goods Sold' column as this relates to products only. </t>
  </si>
  <si>
    <t>Step 4</t>
  </si>
  <si>
    <t>If you have a product, you will need to determine the 'Cost of Goods Sold' in column D, this information will be used to calculate your % 'Gross Profit Margin'. In simple terms, it means how much of the selling price are you keeping after the product is ready for sale. (If you sell goods for $10 and buy them for $6, your gross margin is $4 which is 40% of the selling price).</t>
  </si>
  <si>
    <t>Step 5</t>
  </si>
  <si>
    <t>Then go to the Sales Forecast Year 1 and enter the estimated number of units sold per month for each product or service line. Your estimated volume of sales each month should be entered from cell D7 (depending on sales patterns) until the end of the year for the relevant product or service.  The dollar value is automatically calculated from the Sales Details tab.</t>
  </si>
  <si>
    <t>Step 6</t>
  </si>
  <si>
    <t>Repeat Step 4 for your Sales Forecast Year 2 based on your research.</t>
  </si>
  <si>
    <t>Step 7</t>
  </si>
  <si>
    <t>As a consequence of entering the gross margin %, the cost of buying the goods is automatically calculated from the sales forecast volume and included on the Sales Forecast Year 1 &amp; Year 2 in the table - Cost of Sales Schedule.  This helps to ensure that your purchases of stock are automatically matching your level of sales, assuming that purchases and sales are in the same month, to maximize cashflow.</t>
  </si>
  <si>
    <t>Step 8</t>
  </si>
  <si>
    <t>Cash Flow Year 1 &amp; 2 - Sole traders enter drawings in line 82, and companies enter director wages/salaries in line 69.</t>
  </si>
  <si>
    <t>Step 9</t>
  </si>
  <si>
    <t>Remember to review data entered regularly. All sheets require research before entering data and may need to be altered as your understanding of the market and business opportunities changes.</t>
  </si>
  <si>
    <t>Step 10</t>
  </si>
  <si>
    <t>Use the key assumptions tabs to explain key considerations, assumptions, and anomalies.</t>
  </si>
  <si>
    <t>Business Name</t>
  </si>
  <si>
    <t>Select the first month of your plan</t>
  </si>
  <si>
    <t>Jan</t>
  </si>
  <si>
    <t>What trading structure will you operate under?</t>
  </si>
  <si>
    <t>Register year 1</t>
  </si>
  <si>
    <t>Goods &amp; Services Tax Details</t>
  </si>
  <si>
    <t>Register year 2</t>
  </si>
  <si>
    <t>Select your GST registration option</t>
  </si>
  <si>
    <t>Not registering for GST</t>
  </si>
  <si>
    <t>Will you charge GST on sales?</t>
  </si>
  <si>
    <t>When will you lodge your BAS?</t>
  </si>
  <si>
    <t>Monthly</t>
  </si>
  <si>
    <t>Yes</t>
  </si>
  <si>
    <t>No</t>
  </si>
  <si>
    <t>Dec</t>
  </si>
  <si>
    <t>CASH FLOW YEAR 1 SUMMARY</t>
  </si>
  <si>
    <t xml:space="preserve">Enter actual start month here   </t>
  </si>
  <si>
    <t>TOTAL</t>
  </si>
  <si>
    <t>Opening Balance</t>
  </si>
  <si>
    <t>Income</t>
  </si>
  <si>
    <t>(A)</t>
  </si>
  <si>
    <t>Expenses</t>
  </si>
  <si>
    <t>(B)</t>
  </si>
  <si>
    <t>Balance (A minus B)</t>
  </si>
  <si>
    <t>(C)</t>
  </si>
  <si>
    <t>QUARTER</t>
  </si>
  <si>
    <t>Last month of Qtr</t>
  </si>
  <si>
    <t>Start of new Qtr</t>
  </si>
  <si>
    <t xml:space="preserve">The exact result will depend on the number of days/weeks before the end of the quarter </t>
  </si>
  <si>
    <t>Income Statement Planned Forecast</t>
  </si>
  <si>
    <t>Quarter</t>
  </si>
  <si>
    <t>(A) INCOME</t>
  </si>
  <si>
    <t>(B) EXPENSES</t>
  </si>
  <si>
    <t>(C) BALANCE (A minus B)</t>
  </si>
  <si>
    <t xml:space="preserve">Financial Plan of </t>
  </si>
  <si>
    <t>PERSONAL CASH FLOW FOR YEAR 1</t>
  </si>
  <si>
    <t xml:space="preserve">  Enter opening balance of personal bank account</t>
  </si>
  <si>
    <t>Total</t>
  </si>
  <si>
    <t xml:space="preserve">                                                                            Bank Balance</t>
  </si>
  <si>
    <t>Personal Cash Inflows</t>
  </si>
  <si>
    <t>Other Personal Income</t>
  </si>
  <si>
    <t>Part-time/casual work</t>
  </si>
  <si>
    <t>Spouse/partner wages</t>
  </si>
  <si>
    <t>Govt Payments (e.g. Family Tax Benefit, Carers Payment)</t>
  </si>
  <si>
    <t>Other income (hobby, investments)</t>
  </si>
  <si>
    <t>Total Cash Receipts</t>
  </si>
  <si>
    <t>Personal Cash Outflows</t>
  </si>
  <si>
    <t xml:space="preserve">Groceries </t>
  </si>
  <si>
    <t>Entertainment/Recreation</t>
  </si>
  <si>
    <t>Clothing/Footwear</t>
  </si>
  <si>
    <t>Home Insurance</t>
  </si>
  <si>
    <t>Health/Other Insurance</t>
  </si>
  <si>
    <t>Council Rates</t>
  </si>
  <si>
    <t>Medical Expenses</t>
  </si>
  <si>
    <t>Fuel for personal use</t>
  </si>
  <si>
    <t>Transport - fares, taxi/uber</t>
  </si>
  <si>
    <t>Childcare</t>
  </si>
  <si>
    <t>School fees &amp; education costs</t>
  </si>
  <si>
    <t>Pets</t>
  </si>
  <si>
    <t>Gym membership</t>
  </si>
  <si>
    <t>Holidays</t>
  </si>
  <si>
    <t>Gifts</t>
  </si>
  <si>
    <t>Books, Magazines, Newspaper</t>
  </si>
  <si>
    <t>Personal Care - hair/beauty</t>
  </si>
  <si>
    <t>Subscriptions - Netflix</t>
  </si>
  <si>
    <t>Miscellaneous</t>
  </si>
  <si>
    <t>Bank charges</t>
  </si>
  <si>
    <t>Vehicle Loan</t>
  </si>
  <si>
    <t>Enter the amount in  correct column based on freqncy of the payment frequency</t>
  </si>
  <si>
    <t>Personal loan repayments</t>
  </si>
  <si>
    <t>Personal credit card repayments</t>
  </si>
  <si>
    <t>Personal Cash Flow</t>
  </si>
  <si>
    <t>Business Cash Flow</t>
  </si>
  <si>
    <t>Shared costs (personal and business)</t>
  </si>
  <si>
    <t>Total  Amount</t>
  </si>
  <si>
    <t>Frequency of payment</t>
  </si>
  <si>
    <t>% of cost considered personal</t>
  </si>
  <si>
    <t>Quarterly</t>
  </si>
  <si>
    <t>Bi-annually</t>
  </si>
  <si>
    <t>Annually</t>
  </si>
  <si>
    <t>% of cost considered businessl</t>
  </si>
  <si>
    <t>Household Rent</t>
  </si>
  <si>
    <t>Telephone</t>
  </si>
  <si>
    <t>Internet</t>
  </si>
  <si>
    <t>Mobile</t>
  </si>
  <si>
    <t>Motor vehicle - Repairs and Maintenance</t>
  </si>
  <si>
    <t>Motor vehicle - Registration</t>
  </si>
  <si>
    <t>Motor vehicle - Insurance</t>
  </si>
  <si>
    <t>Motor vehicle - Lease or loan interest</t>
  </si>
  <si>
    <t>Utilities - Gas</t>
  </si>
  <si>
    <t>Utilities - Electricity</t>
  </si>
  <si>
    <t>Utilities - Water</t>
  </si>
  <si>
    <t>Total Cash Payments</t>
  </si>
  <si>
    <t>Closing Bank Balance</t>
  </si>
  <si>
    <t>Personal Assets brought into the business</t>
  </si>
  <si>
    <t>Business Liabilities</t>
  </si>
  <si>
    <t>Current Assets</t>
  </si>
  <si>
    <t>$ Value</t>
  </si>
  <si>
    <t>Business Share</t>
  </si>
  <si>
    <t>Value of Business Asset</t>
  </si>
  <si>
    <t>Effective Life</t>
  </si>
  <si>
    <t>Rate %</t>
  </si>
  <si>
    <t>DEPR Y1</t>
  </si>
  <si>
    <t>DEPR Y2</t>
  </si>
  <si>
    <t>What business debts will you start with?</t>
  </si>
  <si>
    <t>Office Furniture</t>
  </si>
  <si>
    <t>GST owing from market testing</t>
  </si>
  <si>
    <t>Computer Equipment</t>
  </si>
  <si>
    <t>Motor Vehicle</t>
  </si>
  <si>
    <t>Existing Business Loans (amount owing)</t>
  </si>
  <si>
    <t>Monthly Payment $</t>
  </si>
  <si>
    <t>Tools</t>
  </si>
  <si>
    <t>Interest per month $</t>
  </si>
  <si>
    <t>Mobile Phone</t>
  </si>
  <si>
    <t>Months remaining on loan</t>
  </si>
  <si>
    <t>Interest Paid Y1</t>
  </si>
  <si>
    <t>Interest Paid Y2</t>
  </si>
  <si>
    <t>Opening Bank Balance</t>
  </si>
  <si>
    <t>Value of Opening Stock</t>
  </si>
  <si>
    <t>Debtors</t>
  </si>
  <si>
    <t>DEPR YR1</t>
  </si>
  <si>
    <t>DEPR YR2</t>
  </si>
  <si>
    <t>Asset</t>
  </si>
  <si>
    <t>Start Date(dd-mmm-yy)</t>
  </si>
  <si>
    <t>Number of days</t>
  </si>
  <si>
    <t>Purchase  Price (excl. GST)</t>
  </si>
  <si>
    <t>GST</t>
  </si>
  <si>
    <t>Total Price</t>
  </si>
  <si>
    <t>Purchase Date</t>
  </si>
  <si>
    <t>Totals</t>
  </si>
  <si>
    <t>TOTAL BUSINESS ASSETS AT COMMENCEMENT</t>
  </si>
  <si>
    <t>TOTAL DEPRECIATION</t>
  </si>
  <si>
    <t>Yr 1</t>
  </si>
  <si>
    <t>Yr 2</t>
  </si>
  <si>
    <t>Loan 1</t>
  </si>
  <si>
    <t>Name of lender</t>
  </si>
  <si>
    <t>Start Date (dd/mm/yy)</t>
  </si>
  <si>
    <t>Date of Loan (dd/mm/yy)</t>
  </si>
  <si>
    <t>Estimated Loan</t>
  </si>
  <si>
    <t>Stamp Duty</t>
  </si>
  <si>
    <t>Application Fees</t>
  </si>
  <si>
    <t>Other Loan Costs</t>
  </si>
  <si>
    <t>Total Loan AMOUNT</t>
  </si>
  <si>
    <t>Interest Rate %</t>
  </si>
  <si>
    <t>Total Interest</t>
  </si>
  <si>
    <t>Interest p/mth</t>
  </si>
  <si>
    <t>Loan Term (years)</t>
  </si>
  <si>
    <t>Total Amount Owing</t>
  </si>
  <si>
    <t>Monthly Repayments        $</t>
  </si>
  <si>
    <t>Repayment periods per year</t>
  </si>
  <si>
    <t>Total repaid per year</t>
  </si>
  <si>
    <t>Actual Interest Paid Y1</t>
  </si>
  <si>
    <t>Loan Terms (months)</t>
  </si>
  <si>
    <t xml:space="preserve">Repaid by </t>
  </si>
  <si>
    <t>Actual Interest Paid Y2</t>
  </si>
  <si>
    <t>Month</t>
  </si>
  <si>
    <t xml:space="preserve">Note: This is a basic loan calculator, and simply spreads repayments evenly over the period of the loan. </t>
  </si>
  <si>
    <t>Loan 2</t>
  </si>
  <si>
    <t>Financial plan of</t>
  </si>
  <si>
    <t>MARKETING ACTION PLAN - YEAR 1</t>
  </si>
  <si>
    <t>How will you monitor return on investment (ROI)
(where applicable)</t>
  </si>
  <si>
    <t>Activity</t>
  </si>
  <si>
    <r>
      <t>Example only:</t>
    </r>
    <r>
      <rPr>
        <b/>
        <sz val="14"/>
        <rFont val="Arial"/>
        <family val="2"/>
      </rPr>
      <t xml:space="preserve">        Flyers</t>
    </r>
  </si>
  <si>
    <t>Cost $ / When</t>
  </si>
  <si>
    <r>
      <t>Example only:</t>
    </r>
    <r>
      <rPr>
        <b/>
        <sz val="14"/>
        <rFont val="Arial"/>
        <family val="2"/>
      </rPr>
      <t xml:space="preserve">        Mailbox Drops</t>
    </r>
  </si>
  <si>
    <t>Logo Design</t>
  </si>
  <si>
    <t>Business Cards</t>
  </si>
  <si>
    <t>Copyrighting</t>
  </si>
  <si>
    <t>Photograpy / Image / Music Licenses</t>
  </si>
  <si>
    <t>Logo / Letterhead / Stationery</t>
  </si>
  <si>
    <t>Flyers</t>
  </si>
  <si>
    <t>Signage</t>
  </si>
  <si>
    <t>Mailouts / Letterbox Drops</t>
  </si>
  <si>
    <t>Folio updates</t>
  </si>
  <si>
    <t>Database - develop  / purchase</t>
  </si>
  <si>
    <t>Special Event: Planning / Running</t>
  </si>
  <si>
    <t>Networking</t>
  </si>
  <si>
    <t>Client Survey</t>
  </si>
  <si>
    <t>Research (competion / industry)</t>
  </si>
  <si>
    <t>Outbound calls</t>
  </si>
  <si>
    <t>Website Domain Name / Hosting / Design</t>
  </si>
  <si>
    <t>Website Content Development / Copy writing</t>
  </si>
  <si>
    <t>Website Maintain / Update Site</t>
  </si>
  <si>
    <t>SEO (Search Engine Optimisation)</t>
  </si>
  <si>
    <t>Adwords</t>
  </si>
  <si>
    <t>Social Media - (what platform?)</t>
  </si>
  <si>
    <t>Industry Publication Ads</t>
  </si>
  <si>
    <t>Business Directories Ads</t>
  </si>
  <si>
    <t>Newspapers Ads</t>
  </si>
  <si>
    <t>Sponsorship / Donations / Product Promotions</t>
  </si>
  <si>
    <t>TV, Radio, Cinema, Magazines</t>
  </si>
  <si>
    <t xml:space="preserve"> Uniform</t>
  </si>
  <si>
    <t>TOTAL COST</t>
  </si>
  <si>
    <t>MARKETING ACTION PLAN - YEAR 2</t>
  </si>
  <si>
    <t>Sales details</t>
  </si>
  <si>
    <t>Payment Method</t>
  </si>
  <si>
    <t>Sales Categories</t>
  </si>
  <si>
    <t>Cost of Goods Sold</t>
  </si>
  <si>
    <t>Product Gross Margin %</t>
  </si>
  <si>
    <t>Trading Terms</t>
  </si>
  <si>
    <t>Average percentage of sales to be paid using merchant facilities</t>
  </si>
  <si>
    <t xml:space="preserve">Percentage of sale to be received in </t>
  </si>
  <si>
    <t xml:space="preserve">% of sales </t>
  </si>
  <si>
    <t>Merchant Fee %</t>
  </si>
  <si>
    <t>Immediate</t>
  </si>
  <si>
    <t>Sales Forecast Year 1</t>
  </si>
  <si>
    <t>Unit of sale</t>
  </si>
  <si>
    <t>% of sales volume</t>
  </si>
  <si>
    <t>Projected volume of sales per month</t>
  </si>
  <si>
    <t xml:space="preserve">Total volume </t>
  </si>
  <si>
    <t>Sales categories</t>
  </si>
  <si>
    <t>Taxable sale</t>
  </si>
  <si>
    <t>Price</t>
  </si>
  <si>
    <t>% of sales revenue</t>
  </si>
  <si>
    <t>Total sales revenue</t>
  </si>
  <si>
    <t>Total banked per month</t>
  </si>
  <si>
    <t>Cost of Sales Schedule Year 1</t>
  </si>
  <si>
    <t>COGS</t>
  </si>
  <si>
    <t>% cost of goods sold</t>
  </si>
  <si>
    <t>Cost value of monthly sales forecast based on Gross Margin from Sales Details tab</t>
  </si>
  <si>
    <t>Purchases for sales volume</t>
  </si>
  <si>
    <t>Sales related (variable) expenses to be purchased</t>
  </si>
  <si>
    <t>Enter the dollar value of purchases of stock, materials and other Sales Related Expenses to be made each month to meet your expected level of sales</t>
  </si>
  <si>
    <t>Purchase for sales volume</t>
  </si>
  <si>
    <t>Total Cost of Sales -Year 1</t>
  </si>
  <si>
    <t xml:space="preserve">Projected levels of stock on hand </t>
  </si>
  <si>
    <t>Financial Plan of</t>
  </si>
  <si>
    <t>Sales Forecast Year 2</t>
  </si>
  <si>
    <t>Cost of Sales Schedule Year 2</t>
  </si>
  <si>
    <t>Total Cost of Sales -Year 2</t>
  </si>
  <si>
    <t>Running Bank Balance</t>
  </si>
  <si>
    <t>Cash Inflows</t>
  </si>
  <si>
    <t>GST Check</t>
  </si>
  <si>
    <t>Revenue (Sales Banked)</t>
  </si>
  <si>
    <t>Capital Receipts</t>
  </si>
  <si>
    <t>Loans as per business loans</t>
  </si>
  <si>
    <t>NO GST</t>
  </si>
  <si>
    <t>Cash Outflows</t>
  </si>
  <si>
    <t>Sales Related Expenses</t>
  </si>
  <si>
    <t>Cost of Sales as per worksheet</t>
  </si>
  <si>
    <t>Total Sales Related Expenses</t>
  </si>
  <si>
    <t>Operating Expenses</t>
  </si>
  <si>
    <t>Promotional costs as per marketing action plan</t>
  </si>
  <si>
    <t>Accountant</t>
  </si>
  <si>
    <t>Bookkeeper</t>
  </si>
  <si>
    <t>Business Insurance - Public Liability</t>
  </si>
  <si>
    <t>Business Insurance - Other</t>
  </si>
  <si>
    <t>Commercial Rent</t>
  </si>
  <si>
    <t>Other Commercial Outgoings</t>
  </si>
  <si>
    <t>Fuel for business use</t>
  </si>
  <si>
    <t>Market Stall Expenses</t>
  </si>
  <si>
    <t>Subscriptions</t>
  </si>
  <si>
    <t>Apps/ Software Subscriptions inc Antivirus</t>
  </si>
  <si>
    <t>Memberships/ Other Subscriptions</t>
  </si>
  <si>
    <t>Transport - Public/Hire</t>
  </si>
  <si>
    <t>Other Travel Expenses</t>
  </si>
  <si>
    <t>Fees/Licences/Permits</t>
  </si>
  <si>
    <t>Consumables</t>
  </si>
  <si>
    <t>Professional Development</t>
  </si>
  <si>
    <t>Merchant Fees (from Sales Details tab)</t>
  </si>
  <si>
    <t>Payment Frequency</t>
  </si>
  <si>
    <t>Bi Monthly</t>
  </si>
  <si>
    <t>Shared costs (personal and business) business portion</t>
  </si>
  <si>
    <t>Business %</t>
  </si>
  <si>
    <t>Household Rent / Mortgage interest</t>
  </si>
  <si>
    <t>Motor vehicle - Running costs (e.g. servicing)</t>
  </si>
  <si>
    <t>Motor vehicle  - Lease or loan interest</t>
  </si>
  <si>
    <t>Utilities - Electircity</t>
  </si>
  <si>
    <t>Bank Charges</t>
  </si>
  <si>
    <t>Wages &amp; salaries</t>
  </si>
  <si>
    <t>Directors Salaries</t>
  </si>
  <si>
    <t>Wage on-costs (Superannuation / Workcover)</t>
  </si>
  <si>
    <t>Total Operating Expenses</t>
  </si>
  <si>
    <t>Other payments (e.g. Asset purchases, Loan repayments)</t>
  </si>
  <si>
    <t>Principle Paid</t>
  </si>
  <si>
    <t>Businesss loan repayments (loan 1)</t>
  </si>
  <si>
    <t>Businesss loan repayments (loan 2)</t>
  </si>
  <si>
    <t>Existing business loan repayments (Assets and Depreciation)</t>
  </si>
  <si>
    <t>Asset purchases</t>
  </si>
  <si>
    <t>Total Other Payments</t>
  </si>
  <si>
    <t>Proprietorship &amp; Taxation</t>
  </si>
  <si>
    <t>Drawings</t>
  </si>
  <si>
    <t>BAS Payments</t>
  </si>
  <si>
    <t>GST payable to ATO</t>
  </si>
  <si>
    <t>PAYG Instalments</t>
  </si>
  <si>
    <t>Total Proprietorship &amp; Taxation</t>
  </si>
  <si>
    <t>GST Collected</t>
  </si>
  <si>
    <t>GST Paid</t>
  </si>
  <si>
    <t>GST Accumulator</t>
  </si>
  <si>
    <t>Loan Month Number</t>
  </si>
  <si>
    <t>Projected Income &amp; Expense (Profit &amp; Loss) Statements</t>
  </si>
  <si>
    <t>Year 1</t>
  </si>
  <si>
    <t>%</t>
  </si>
  <si>
    <t>Year 2</t>
  </si>
  <si>
    <t>Sales</t>
  </si>
  <si>
    <t>Other income</t>
  </si>
  <si>
    <t>Total Income</t>
  </si>
  <si>
    <t>Opening Stock</t>
  </si>
  <si>
    <t>Cost of Sales</t>
  </si>
  <si>
    <t>less Closing Stock</t>
  </si>
  <si>
    <t>Total cost of goods sold</t>
  </si>
  <si>
    <t>Gross Profit</t>
  </si>
  <si>
    <t>less Overhead Expenses</t>
  </si>
  <si>
    <t>Operating Profit</t>
  </si>
  <si>
    <t>Depreciation</t>
  </si>
  <si>
    <t>Interest</t>
  </si>
  <si>
    <t>Net Profit</t>
  </si>
  <si>
    <t>Income tax (estimated)</t>
  </si>
  <si>
    <t>Net Profit after Tax</t>
  </si>
  <si>
    <t>Balance Sheet at commencement of plan</t>
  </si>
  <si>
    <t>Assets</t>
  </si>
  <si>
    <t>Liabilities</t>
  </si>
  <si>
    <t>Current Liabilities</t>
  </si>
  <si>
    <t>GST owing</t>
  </si>
  <si>
    <t>PAYG Instalments owing</t>
  </si>
  <si>
    <t>Fixed Assets</t>
  </si>
  <si>
    <t>Non Current Liabilities</t>
  </si>
  <si>
    <t>Existing business loan</t>
  </si>
  <si>
    <t>less Accumulated Depreciation</t>
  </si>
  <si>
    <t>Proprietorship</t>
  </si>
  <si>
    <t>Capital introduced by owner(s)</t>
  </si>
  <si>
    <t>Total Assets</t>
  </si>
  <si>
    <t>Total Liabilities &amp; Proprietorship</t>
  </si>
  <si>
    <t>Projected Balance Sheet at end of Year 1</t>
  </si>
  <si>
    <t>Cash</t>
  </si>
  <si>
    <t>Stock</t>
  </si>
  <si>
    <t>Business loans</t>
  </si>
  <si>
    <t>plus Profit year 1</t>
  </si>
  <si>
    <t>less Drawings year 1</t>
  </si>
  <si>
    <t>Assets Purchased</t>
  </si>
  <si>
    <t>Projected Balance Sheet at end of Year 2</t>
  </si>
  <si>
    <t>Proprietorship from year 1</t>
  </si>
  <si>
    <t>plus Profit year 2</t>
  </si>
  <si>
    <t>less Drawings year 2</t>
  </si>
  <si>
    <t>Detail the key assumptions supporting your financial forecasts</t>
  </si>
  <si>
    <t>Promotional Action Plan</t>
  </si>
  <si>
    <t>.</t>
  </si>
  <si>
    <t>Credit Terms</t>
  </si>
  <si>
    <t>Other revenue</t>
  </si>
  <si>
    <t>Loans/Capital input</t>
  </si>
  <si>
    <t>Operating costs</t>
  </si>
  <si>
    <t>Profit forecasts</t>
  </si>
  <si>
    <t>Breakeven Analysis - Service based business</t>
  </si>
  <si>
    <t>Total annual sales required to achieve desired annual profit</t>
  </si>
  <si>
    <t>Desired Annual Profit (After taxation)</t>
  </si>
  <si>
    <t>per year</t>
  </si>
  <si>
    <t>Breakeven sales analysis</t>
  </si>
  <si>
    <t>At the intended Hourly Rate of</t>
  </si>
  <si>
    <t>At the Breakeven Hourly Rate of</t>
  </si>
  <si>
    <t>Hourly rate you intend to charge</t>
  </si>
  <si>
    <t>per hour</t>
  </si>
  <si>
    <t>Column1</t>
  </si>
  <si>
    <t>Select here to show breakeven sales by week, month or annually</t>
  </si>
  <si>
    <t>Total Sales required</t>
  </si>
  <si>
    <t>Weekly</t>
  </si>
  <si>
    <t xml:space="preserve">Total hours to be sold </t>
  </si>
  <si>
    <t xml:space="preserve">Breakeven Hourly rate  </t>
  </si>
  <si>
    <t>This calculator is  suitable for business with only service sales.  Where your business has a combination of service and product related sales then discuss with your trainer/advisor on how this calculator may be modified to assist you to determine your breakeven analysis.</t>
  </si>
  <si>
    <t>Breakeven Hourly rate assumptions</t>
  </si>
  <si>
    <t>No of operating weeks per year</t>
  </si>
  <si>
    <t>No of normal trading days per week</t>
  </si>
  <si>
    <t>Public Holidays and annual leave days closed per year</t>
  </si>
  <si>
    <t>No of hours in normal day</t>
  </si>
  <si>
    <t>No of people generating chargeable hours</t>
  </si>
  <si>
    <t>No of hours per week spent on administration and other tasks not chargeable to jobs (including marketing)</t>
  </si>
  <si>
    <t>Potential Productive hours per year</t>
  </si>
  <si>
    <t>hours</t>
  </si>
  <si>
    <t>Productivity rate</t>
  </si>
  <si>
    <t>Breakeven Analysis - Product based business</t>
  </si>
  <si>
    <t>Total annual sales required to achieve desired annual profit at your average margin</t>
  </si>
  <si>
    <t>Enter your Desired Annual Profit (after taxation)</t>
  </si>
  <si>
    <t>Average Margin as noted in Sales Details worksheet</t>
  </si>
  <si>
    <t>This table can be used to model an alternative sales mix.  Change the percentage sales mix in the What If Sales Mix Column.</t>
  </si>
  <si>
    <t>This calculator is suitable for businesses with only product sales.  Where your business has a combination of product and service related sales then discuss with your trainer/advisor on how this calculator may be modified to assist you to determine your breakeven analysis.</t>
  </si>
  <si>
    <t>What If Sales Mix Analysis</t>
  </si>
  <si>
    <t>Sales as at What If Sales Mix</t>
  </si>
  <si>
    <t>Sales category</t>
  </si>
  <si>
    <t>Margin</t>
  </si>
  <si>
    <t>Sales Mix as per sales Forecast</t>
  </si>
  <si>
    <t>What If Sales Mix</t>
  </si>
  <si>
    <t>Period covered by plan</t>
  </si>
  <si>
    <t>GST Calculator</t>
  </si>
  <si>
    <t>Column2</t>
  </si>
  <si>
    <t>Sole trader</t>
  </si>
  <si>
    <t>Year 1 Operating Expenses</t>
  </si>
  <si>
    <t>Feb</t>
  </si>
  <si>
    <t>Partnership of 2</t>
  </si>
  <si>
    <t xml:space="preserve">GST On Sales </t>
  </si>
  <si>
    <t>Mar</t>
  </si>
  <si>
    <t>Partnership of 3</t>
  </si>
  <si>
    <t>Average margin</t>
  </si>
  <si>
    <t>GST on Purchases</t>
  </si>
  <si>
    <t>Apr</t>
  </si>
  <si>
    <t>Company</t>
  </si>
  <si>
    <t>May</t>
  </si>
  <si>
    <t>Jun</t>
  </si>
  <si>
    <t>Jul</t>
  </si>
  <si>
    <t>Aug</t>
  </si>
  <si>
    <t>Sep</t>
  </si>
  <si>
    <t>Oct</t>
  </si>
  <si>
    <t>Nov</t>
  </si>
  <si>
    <t>Income tax calculator</t>
  </si>
  <si>
    <t>Net profit</t>
  </si>
  <si>
    <t>Licence Date</t>
  </si>
  <si>
    <t>Today</t>
  </si>
  <si>
    <t>Licensed to</t>
  </si>
  <si>
    <t>SEA Provider</t>
  </si>
  <si>
    <t>License expiration date</t>
  </si>
  <si>
    <t>GST Variance allowed</t>
  </si>
  <si>
    <t>Tax Payable</t>
  </si>
  <si>
    <t>From time to time these rates will need to be updated, please advise if rates need to be adjusted</t>
  </si>
  <si>
    <t>Sole Trader &amp; Partnership</t>
  </si>
  <si>
    <t>https://www.ato.gov.au/Rates/Individual-income-tax-rates/</t>
  </si>
  <si>
    <t>GST Rate</t>
  </si>
  <si>
    <t>Pty Ltd Company</t>
  </si>
  <si>
    <t>https://www.ato.gov.au/Rates/Changes-to-company-tax-rates/</t>
  </si>
  <si>
    <t>Company Tax Rate</t>
  </si>
  <si>
    <t>Consumer price index (CPI) rate</t>
  </si>
  <si>
    <t>https://www.ato.gov.au/Rates/Consumer-price-index/</t>
  </si>
  <si>
    <r>
      <t xml:space="preserve">This is a calculation worksheet only.  There are no amounts to be entered into this worksheet sheet and it </t>
    </r>
    <r>
      <rPr>
        <b/>
        <u/>
        <sz val="22"/>
        <rFont val="Arial"/>
        <family val="2"/>
      </rPr>
      <t>DOES NOT</t>
    </r>
    <r>
      <rPr>
        <b/>
        <sz val="22"/>
        <rFont val="Arial"/>
        <family val="2"/>
      </rPr>
      <t xml:space="preserve"> form part of your Financial Plan</t>
    </r>
  </si>
  <si>
    <t>Debtor collection analysis Year 1</t>
  </si>
  <si>
    <t>GST Accumulator on Sales revenue</t>
  </si>
  <si>
    <t>Sales Unit</t>
  </si>
  <si>
    <t>Debtor collection analysis Year 2</t>
  </si>
  <si>
    <t>This worksheet need only be opened where a fomatting error has occurred in an earlier worksheet.  Attempts to correct errors traced to this worksheet should only be made by experienced Excel users.</t>
  </si>
  <si>
    <t>This financial planning tool has been thoughtfully developed to support individuals in building clear, structured, and forward-looking business plans. It is designed as a practical framework to guide financial thinking, scenario planning, and decision-making.
While care has been taken to reflect relevant Australian regulatory considerations as at July 2022, this tool is intended as a general guide only and should not be relied upon as formal financial or legal advice.
We also acknowledge the foundational contribution of Reg Eustace in the original development of this framework.</t>
  </si>
  <si>
    <t>Debra Wylde's Business Advisory</t>
  </si>
  <si>
    <r>
      <t xml:space="preserve">This spreadsheet must be completed using </t>
    </r>
    <r>
      <rPr>
        <b/>
        <u/>
        <sz val="10"/>
        <color theme="4" tint="-0.249977111117893"/>
        <rFont val="Inter"/>
      </rPr>
      <t>Microsoft Excel</t>
    </r>
  </si>
  <si>
    <r>
      <t xml:space="preserve">Ensure that you </t>
    </r>
    <r>
      <rPr>
        <b/>
        <u/>
        <sz val="10"/>
        <color theme="4" tint="-0.249977111117893"/>
        <rFont val="Inter"/>
      </rPr>
      <t>save your work and use version controls</t>
    </r>
    <r>
      <rPr>
        <sz val="10"/>
        <rFont val="Inter"/>
      </rPr>
      <t xml:space="preserve"> to track changes and to avoid confusion. EG:
</t>
    </r>
    <r>
      <rPr>
        <b/>
        <sz val="10"/>
        <color rgb="FF00B050"/>
        <rFont val="Inter"/>
      </rPr>
      <t>v1</t>
    </r>
    <r>
      <rPr>
        <b/>
        <sz val="10"/>
        <color rgb="FFFF0000"/>
        <rFont val="Inter"/>
      </rPr>
      <t xml:space="preserve"> </t>
    </r>
    <r>
      <rPr>
        <b/>
        <sz val="10"/>
        <rFont val="Inter"/>
      </rPr>
      <t xml:space="preserve">Tom Brown Financial Plan </t>
    </r>
    <r>
      <rPr>
        <sz val="10"/>
        <rFont val="Inter"/>
      </rPr>
      <t xml:space="preserve">
or
</t>
    </r>
    <r>
      <rPr>
        <b/>
        <sz val="10"/>
        <color rgb="FF00B050"/>
        <rFont val="Inter"/>
      </rPr>
      <t>09Mar2026</t>
    </r>
    <r>
      <rPr>
        <b/>
        <sz val="10"/>
        <rFont val="Inter"/>
      </rPr>
      <t xml:space="preserve"> Tom Brown Financial Plan</t>
    </r>
    <r>
      <rPr>
        <sz val="10"/>
        <rFont val="Inter"/>
      </rPr>
      <t xml:space="preserve">
**Including the version number or date in front of the file name will ensure it is ordered sequentially from newest to oldest when searching for files</t>
    </r>
  </si>
  <si>
    <r>
      <t xml:space="preserve">Save this spreadsheet an </t>
    </r>
    <r>
      <rPr>
        <b/>
        <u/>
        <sz val="10"/>
        <color theme="4" tint="-0.249977111117893"/>
        <rFont val="Inter"/>
      </rPr>
      <t>Excel Workbook (.xlsx) only</t>
    </r>
    <r>
      <rPr>
        <b/>
        <sz val="10"/>
        <rFont val="Inter"/>
      </rPr>
      <t xml:space="preserve">
</t>
    </r>
    <r>
      <rPr>
        <sz val="10"/>
        <rFont val="Inter"/>
      </rPr>
      <t xml:space="preserve">
</t>
    </r>
    <r>
      <rPr>
        <b/>
        <u/>
        <sz val="10"/>
        <rFont val="Inter"/>
      </rPr>
      <t>DO NOT</t>
    </r>
    <r>
      <rPr>
        <sz val="10"/>
        <rFont val="Inter"/>
      </rPr>
      <t xml:space="preserve"> save it as a 'Excel Macro-Enabled Workbook' or 'Excel Binary Workbook'</t>
    </r>
  </si>
  <si>
    <t>This financial model enables the development of a three-year business forecast, covering both cash flow and profitability projections.
For optimal performance, it should be used in Microsoft Excel. Opening the file in other applications may affect formulas, structure, and formatting.
Certain worksheets are protected to preserve the integrity of the model. If adjustments are required, they should be made with care to ensure the underlying calculations remain intact.</t>
  </si>
  <si>
    <t>Sales Forecast Year 3</t>
  </si>
  <si>
    <t>Cost of Sales Schedule Year 3</t>
  </si>
  <si>
    <t>Dec 2025 - Dec 2026</t>
  </si>
  <si>
    <t>Business Assets at Commencement</t>
  </si>
  <si>
    <t>Assets purchased after commencement</t>
  </si>
  <si>
    <t>30/2/2028</t>
  </si>
  <si>
    <t>Selling Price 
(incl GST, if applicable)</t>
  </si>
  <si>
    <t>Total Cost of Sales -Year 3</t>
  </si>
  <si>
    <t>Alternative Home Expenses @ rate per hour
https://www.ato.gov.au/calculators-and-tools/home-office-expenses-calculator/</t>
  </si>
  <si>
    <t>Factors influencing the Sales Forecasts 
- seasonal fluctuations
- expansion into new markets, etc</t>
  </si>
  <si>
    <t>Enter  information about your business in the bellow cells</t>
  </si>
  <si>
    <t>Last Updated:</t>
  </si>
  <si>
    <t>Individual tax rates 2026–27
(these rates do not include the 2% medicare levy)</t>
  </si>
  <si>
    <t>Test1</t>
  </si>
  <si>
    <t>CASH FLOW YEAR 2 SUMMARY</t>
  </si>
  <si>
    <t>CASH FLOW YEAR 3 SUMMARY</t>
  </si>
  <si>
    <t xml:space="preserve"> </t>
  </si>
  <si>
    <t>1 month after sale</t>
  </si>
  <si>
    <t>2 months after sale</t>
  </si>
  <si>
    <t>3 months after sale</t>
  </si>
  <si>
    <t>Test-category-1</t>
  </si>
  <si>
    <t>Test-category-2</t>
  </si>
  <si>
    <t>Test-category-3</t>
  </si>
  <si>
    <t>MARKETING ACTION PLAN - YEAR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</si>
</sst>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00"/>
    <numFmt numFmtId="165" formatCode="&quot;$&quot;#,##0"/>
    <numFmt numFmtId="166" formatCode="dd/mm/yyyy"/>
    <numFmt numFmtId="167" formatCode="#,##0_ ;\-#,##0\ "/>
    <numFmt numFmtId="168" formatCode="_-&quot;$&quot;\ #,##0.00_-;\-&quot;$&quot;\ #,##0.00_-;_-&quot;$&quot;* &quot;-&quot;??_-;_-@_-"/>
    <numFmt numFmtId="169" formatCode="mmm"/>
    <numFmt numFmtId="170" formatCode="_-[$$-C09]* #,##0_-;\-[$$-C09]* #,##0_-;_-[$$-C09]* &quot;-&quot;??_-;_-@_-"/>
    <numFmt numFmtId="171" formatCode="_-* #,##0_-;\-* #,##0_-;_-* \-_-;_-@_-"/>
    <numFmt numFmtId="172" formatCode="[$-C09]dd\-mmm\-yy;@"/>
    <numFmt numFmtId="173" formatCode="dd\-mmm\-yy;@"/>
    <numFmt numFmtId="174" formatCode="0.0%"/>
    <numFmt numFmtId="175" formatCode="#,##0;[Red]#,##0"/>
    <numFmt numFmtId="176" formatCode="mmm\-yy;@"/>
    <numFmt numFmtId="177" formatCode="0.000000"/>
    <numFmt numFmtId="178" formatCode="[$-C09]dd\-mmmm\-yyyy;@"/>
    <numFmt numFmtId="179" formatCode="0.0"/>
  </numFmts>
  <fonts count="99">
    <font>
      <sz val="11"/>
      <color theme="1"/>
      <name val="Calibri"/>
      <family val="2"/>
      <scheme val="minor"/>
    </font>
    <font>
      <sz val="11"/>
      <color rgb="FF3F3F76"/>
      <name val="Calibri"/>
      <family val="2"/>
      <scheme val="minor"/>
    </font>
    <font>
      <sz val="10"/>
      <name val="Arial"/>
      <family val="2"/>
    </font>
    <font>
      <b/>
      <sz val="10"/>
      <color rgb="FFFF0000"/>
      <name val="Arial"/>
      <family val="2"/>
    </font>
    <font>
      <b/>
      <sz val="10"/>
      <name val="Arial"/>
      <family val="2"/>
    </font>
    <font>
      <sz val="10"/>
      <color theme="0"/>
      <name val="Arial"/>
      <family val="2"/>
    </font>
    <font>
      <b/>
      <sz val="11"/>
      <color theme="0"/>
      <name val="Arial"/>
      <family val="2"/>
    </font>
    <font>
      <sz val="10"/>
      <name val="Arial"/>
      <family val="2"/>
    </font>
    <font>
      <b/>
      <sz val="10"/>
      <color theme="0"/>
      <name val="Arial"/>
      <family val="2"/>
    </font>
    <font>
      <b/>
      <sz val="12"/>
      <name val="Arial"/>
      <family val="2"/>
    </font>
    <font>
      <sz val="10"/>
      <color rgb="FFFF0000"/>
      <name val="Arial"/>
      <family val="2"/>
    </font>
    <font>
      <sz val="10"/>
      <color theme="0" tint="-4.9989318521683403E-2"/>
      <name val="Arial"/>
      <family val="2"/>
    </font>
    <font>
      <b/>
      <sz val="11"/>
      <color theme="4" tint="0.79998168889431442"/>
      <name val="Arial"/>
      <family val="2"/>
    </font>
    <font>
      <b/>
      <sz val="28"/>
      <name val="Blackadder ITC"/>
      <family val="5"/>
    </font>
    <font>
      <b/>
      <sz val="11"/>
      <name val="Arial"/>
      <family val="2"/>
    </font>
    <font>
      <b/>
      <sz val="9"/>
      <color theme="3" tint="-0.249977111117893"/>
      <name val="Arial"/>
      <family val="2"/>
    </font>
    <font>
      <i/>
      <sz val="12"/>
      <name val="Arial"/>
      <family val="2"/>
    </font>
    <font>
      <b/>
      <i/>
      <sz val="9.5"/>
      <color rgb="FF576170"/>
      <name val="Tahoma"/>
      <family val="2"/>
    </font>
    <font>
      <sz val="10"/>
      <color theme="4" tint="0.79998168889431442"/>
      <name val="Arial"/>
      <family val="2"/>
    </font>
    <font>
      <i/>
      <sz val="9"/>
      <name val="Arial"/>
      <family val="2"/>
    </font>
    <font>
      <b/>
      <sz val="8"/>
      <color indexed="10"/>
      <name val="Arial"/>
      <family val="2"/>
    </font>
    <font>
      <sz val="8"/>
      <name val="Arial"/>
      <family val="2"/>
    </font>
    <font>
      <b/>
      <i/>
      <sz val="12"/>
      <name val="Arial"/>
      <family val="2"/>
    </font>
    <font>
      <b/>
      <sz val="14"/>
      <name val="Arial"/>
      <family val="2"/>
    </font>
    <font>
      <i/>
      <sz val="11"/>
      <color theme="0"/>
      <name val="Arial"/>
      <family val="2"/>
    </font>
    <font>
      <i/>
      <sz val="11"/>
      <name val="Arial"/>
      <family val="2"/>
    </font>
    <font>
      <sz val="12"/>
      <name val="Arial"/>
      <family val="2"/>
    </font>
    <font>
      <b/>
      <sz val="11"/>
      <color theme="1"/>
      <name val="Arial"/>
      <family val="2"/>
    </font>
    <font>
      <b/>
      <sz val="12"/>
      <color theme="0"/>
      <name val="Arial"/>
      <family val="2"/>
    </font>
    <font>
      <sz val="11"/>
      <color rgb="FFFFFF99"/>
      <name val="Arial"/>
      <family val="2"/>
    </font>
    <font>
      <b/>
      <sz val="9"/>
      <name val="Arial"/>
      <family val="2"/>
    </font>
    <font>
      <sz val="14"/>
      <color rgb="FFC00000"/>
      <name val="Arial"/>
      <family val="2"/>
    </font>
    <font>
      <sz val="10"/>
      <color rgb="FFC00000"/>
      <name val="Arial"/>
      <family val="2"/>
    </font>
    <font>
      <b/>
      <sz val="16"/>
      <name val="Arial"/>
      <family val="2"/>
    </font>
    <font>
      <b/>
      <sz val="20"/>
      <name val="Arial"/>
      <family val="2"/>
    </font>
    <font>
      <sz val="14"/>
      <name val="Arial"/>
      <family val="2"/>
    </font>
    <font>
      <b/>
      <sz val="8"/>
      <color theme="0"/>
      <name val="Arial"/>
      <family val="2"/>
    </font>
    <font>
      <sz val="11"/>
      <color theme="0"/>
      <name val="Arial"/>
      <family val="2"/>
    </font>
    <font>
      <sz val="11"/>
      <name val="Arial"/>
      <family val="2"/>
    </font>
    <font>
      <sz val="10"/>
      <color theme="0" tint="-0.499984740745262"/>
      <name val="Arial"/>
      <family val="2"/>
    </font>
    <font>
      <b/>
      <sz val="11"/>
      <name val="Calibri"/>
      <family val="2"/>
    </font>
    <font>
      <sz val="11"/>
      <color indexed="8"/>
      <name val="Arial"/>
      <family val="2"/>
    </font>
    <font>
      <b/>
      <sz val="9"/>
      <color theme="0"/>
      <name val="Arial"/>
      <family val="2"/>
    </font>
    <font>
      <sz val="10"/>
      <color rgb="FF2E2E30"/>
      <name val="Arial"/>
      <family val="2"/>
    </font>
    <font>
      <b/>
      <sz val="12"/>
      <color indexed="10"/>
      <name val="Arial"/>
      <family val="2"/>
    </font>
    <font>
      <b/>
      <sz val="9"/>
      <color indexed="81"/>
      <name val="Tahoma"/>
      <family val="2"/>
    </font>
    <font>
      <sz val="9"/>
      <color indexed="81"/>
      <name val="Tahoma"/>
      <family val="2"/>
    </font>
    <font>
      <sz val="12"/>
      <color indexed="10"/>
      <name val="Arial"/>
      <family val="2"/>
    </font>
    <font>
      <b/>
      <sz val="8"/>
      <name val="Arial"/>
      <family val="2"/>
    </font>
    <font>
      <u/>
      <sz val="10"/>
      <color theme="10"/>
      <name val="Arial"/>
      <family val="2"/>
    </font>
    <font>
      <sz val="20"/>
      <name val="Arial"/>
      <family val="2"/>
    </font>
    <font>
      <sz val="11"/>
      <color rgb="FF1A1A1B"/>
      <name val="Noto Sans"/>
      <family val="2"/>
    </font>
    <font>
      <b/>
      <sz val="18"/>
      <name val="Arial"/>
      <family val="2"/>
    </font>
    <font>
      <b/>
      <sz val="11"/>
      <color indexed="10"/>
      <name val="Arial"/>
      <family val="2"/>
    </font>
    <font>
      <b/>
      <sz val="10"/>
      <color indexed="12"/>
      <name val="Arial"/>
      <family val="2"/>
    </font>
    <font>
      <b/>
      <sz val="24"/>
      <name val="Arial"/>
      <family val="2"/>
    </font>
    <font>
      <strike/>
      <sz val="10"/>
      <name val="Arial"/>
      <family val="2"/>
    </font>
    <font>
      <sz val="11"/>
      <name val="Calibri"/>
      <family val="2"/>
    </font>
    <font>
      <b/>
      <sz val="22"/>
      <name val="Arial"/>
      <family val="2"/>
    </font>
    <font>
      <b/>
      <u/>
      <sz val="22"/>
      <name val="Arial"/>
      <family val="2"/>
    </font>
    <font>
      <b/>
      <i/>
      <sz val="18"/>
      <name val="Arial"/>
      <family val="2"/>
    </font>
    <font>
      <sz val="11"/>
      <color theme="1"/>
      <name val="Calibri"/>
      <family val="2"/>
      <scheme val="minor"/>
    </font>
    <font>
      <sz val="11"/>
      <color rgb="FF9C5700"/>
      <name val="Calibri"/>
      <family val="2"/>
      <scheme val="minor"/>
    </font>
    <font>
      <sz val="36"/>
      <color theme="0"/>
      <name val="Georgia"/>
      <family val="1"/>
    </font>
    <font>
      <sz val="10"/>
      <name val="Inter"/>
    </font>
    <font>
      <b/>
      <sz val="10"/>
      <color rgb="FF00B050"/>
      <name val="Inter"/>
    </font>
    <font>
      <b/>
      <sz val="10"/>
      <color rgb="FFFF0000"/>
      <name val="Inter"/>
    </font>
    <font>
      <b/>
      <sz val="10"/>
      <name val="Inter"/>
    </font>
    <font>
      <b/>
      <u/>
      <sz val="10"/>
      <name val="Inter"/>
    </font>
    <font>
      <sz val="10"/>
      <color theme="0"/>
      <name val="Inter"/>
    </font>
    <font>
      <b/>
      <u/>
      <sz val="10"/>
      <color theme="4" tint="-0.249977111117893"/>
      <name val="Inter"/>
    </font>
    <font>
      <b/>
      <sz val="11"/>
      <color theme="3"/>
      <name val="Arial"/>
      <family val="2"/>
    </font>
    <font>
      <b/>
      <sz val="14"/>
      <color rgb="FFF2EDE6"/>
      <name val="Arial"/>
      <family val="2"/>
    </font>
    <font>
      <b/>
      <sz val="16"/>
      <color rgb="FFF2EDE6"/>
      <name val="Arial"/>
      <family val="2"/>
    </font>
    <font>
      <b/>
      <sz val="12"/>
      <color rgb="FFF2EDE6"/>
      <name val="Arial"/>
      <family val="2"/>
    </font>
    <font>
      <sz val="10"/>
      <color rgb="FFF2EDE6"/>
      <name val="Arial"/>
      <family val="2"/>
    </font>
    <font>
      <sz val="10"/>
      <color rgb="FF1C1323"/>
      <name val="Arial"/>
      <family val="2"/>
    </font>
    <font>
      <b/>
      <sz val="10"/>
      <color rgb="FF1C1323"/>
      <name val="Arial"/>
      <family val="2"/>
    </font>
    <font>
      <sz val="11"/>
      <color rgb="FF2A1A2F"/>
      <name val="Arial"/>
      <family val="2"/>
    </font>
    <font>
      <b/>
      <sz val="11"/>
      <color rgb="FF2A1A2F"/>
      <name val="Arial"/>
      <family val="2"/>
    </font>
    <font>
      <b/>
      <sz val="18"/>
      <color rgb="FFF2EDE6"/>
      <name val="Arial"/>
      <family val="2"/>
    </font>
    <font>
      <sz val="11"/>
      <color rgb="FFF2EDE6"/>
      <name val="Arial"/>
      <family val="2"/>
    </font>
    <font>
      <sz val="12"/>
      <color rgb="FFF2EDE6"/>
      <name val="Arial"/>
      <family val="2"/>
    </font>
    <font>
      <sz val="14"/>
      <color rgb="FFF2EDE6"/>
      <name val="Arial"/>
      <family val="2"/>
    </font>
    <font>
      <sz val="18"/>
      <color rgb="FFF2EDE6"/>
      <name val="Arial"/>
      <family val="2"/>
    </font>
    <font>
      <b/>
      <sz val="12"/>
      <color rgb="FF1C1323"/>
      <name val="Arial"/>
      <family val="2"/>
    </font>
    <font>
      <b/>
      <sz val="14"/>
      <color rgb="FF1C1323"/>
      <name val="Arial"/>
      <family val="2"/>
    </font>
    <font>
      <sz val="11"/>
      <color rgb="FF1C1323"/>
      <name val="Arial"/>
      <family val="2"/>
    </font>
    <font>
      <b/>
      <sz val="20"/>
      <color rgb="FFF2EDE6"/>
      <name val="Arial"/>
      <family val="2"/>
    </font>
    <font>
      <b/>
      <sz val="16"/>
      <color rgb="FF1C1323"/>
      <name val="Arial"/>
      <family val="2"/>
    </font>
    <font>
      <sz val="12"/>
      <color rgb="FF2A1A2F"/>
      <name val="Arial"/>
      <family val="2"/>
    </font>
    <font>
      <sz val="14"/>
      <color rgb="FF2A1A2F"/>
      <name val="Arial"/>
      <family val="2"/>
    </font>
    <font>
      <b/>
      <sz val="10"/>
      <color rgb="FF2A1A2F"/>
      <name val="Arial"/>
      <family val="2"/>
    </font>
    <font>
      <b/>
      <sz val="11"/>
      <color rgb="FF9C5700"/>
      <name val="Calibri"/>
      <family val="2"/>
      <scheme val="minor"/>
    </font>
    <font>
      <b/>
      <sz val="12"/>
      <color rgb="FF2A1A2F"/>
      <name val="Arial"/>
      <family val="2"/>
    </font>
    <font>
      <b/>
      <sz val="13"/>
      <color rgb="FF2A1A2F"/>
      <name val="Arial"/>
      <family val="2"/>
    </font>
    <font>
      <b/>
      <sz val="18"/>
      <color rgb="FF2A1A2F"/>
      <name val="Arial"/>
      <family val="2"/>
    </font>
    <font>
      <b/>
      <sz val="22"/>
      <color rgb="FF1C1323"/>
      <name val="Arial"/>
      <family val="2"/>
    </font>
    <font>
      <sz val="22"/>
      <color rgb="FF1C1323"/>
      <name val="Arial"/>
      <family val="2"/>
    </font>
  </fonts>
  <fills count="38">
    <fill>
      <patternFill patternType="none"/>
    </fill>
    <fill>
      <patternFill patternType="gray125"/>
    </fill>
    <fill>
      <patternFill patternType="solid">
        <fgColor rgb="FFFFCC99"/>
      </patternFill>
    </fill>
    <fill>
      <patternFill patternType="solid">
        <fgColor theme="0" tint="-4.9989318521683403E-2"/>
        <bgColor indexed="64"/>
      </patternFill>
    </fill>
    <fill>
      <patternFill patternType="solid">
        <fgColor theme="4"/>
        <bgColor indexed="64"/>
      </patternFill>
    </fill>
    <fill>
      <patternFill patternType="solid">
        <fgColor rgb="FFFFFF99"/>
        <bgColor indexed="64"/>
      </patternFill>
    </fill>
    <fill>
      <patternFill patternType="solid">
        <fgColor theme="0" tint="-0.499984740745262"/>
        <bgColor indexed="64"/>
      </patternFill>
    </fill>
    <fill>
      <patternFill patternType="solid">
        <fgColor theme="2" tint="-0.89999084444715716"/>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theme="1" tint="-0.249977111117893"/>
        <bgColor indexed="64"/>
      </patternFill>
    </fill>
    <fill>
      <patternFill patternType="solid">
        <fgColor rgb="FF66FF99"/>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CCFFFF"/>
        <bgColor indexed="64"/>
      </patternFill>
    </fill>
    <fill>
      <patternFill patternType="solid">
        <fgColor rgb="FF0070C0"/>
        <bgColor indexed="64"/>
      </patternFill>
    </fill>
    <fill>
      <patternFill patternType="solid">
        <fgColor theme="0" tint="-4.9989318521683403E-2"/>
        <bgColor indexed="23"/>
      </patternFill>
    </fill>
    <fill>
      <patternFill patternType="solid">
        <fgColor rgb="FFFFFF00"/>
        <bgColor indexed="64"/>
      </patternFill>
    </fill>
    <fill>
      <patternFill patternType="solid">
        <fgColor indexed="41"/>
        <bgColor indexed="64"/>
      </patternFill>
    </fill>
    <fill>
      <patternFill patternType="solid">
        <fgColor theme="1" tint="-0.499984740745262"/>
        <bgColor indexed="64"/>
      </patternFill>
    </fill>
    <fill>
      <patternFill patternType="solid">
        <fgColor indexed="22"/>
        <bgColor indexed="64"/>
      </patternFill>
    </fill>
    <fill>
      <patternFill patternType="solid">
        <fgColor indexed="47"/>
        <bgColor indexed="64"/>
      </patternFill>
    </fill>
    <fill>
      <patternFill patternType="solid">
        <fgColor rgb="FFFFEB9C"/>
      </patternFill>
    </fill>
    <fill>
      <patternFill patternType="solid">
        <fgColor theme="4" tint="0.79998168889431442"/>
        <bgColor indexed="65"/>
      </patternFill>
    </fill>
    <fill>
      <patternFill patternType="solid">
        <fgColor theme="5" tint="0.59999389629810485"/>
        <bgColor indexed="65"/>
      </patternFill>
    </fill>
    <fill>
      <patternFill patternType="solid">
        <fgColor theme="8" tint="0.79998168889431442"/>
        <bgColor indexed="65"/>
      </patternFill>
    </fill>
    <fill>
      <patternFill patternType="solid">
        <fgColor theme="2"/>
        <bgColor indexed="64"/>
      </patternFill>
    </fill>
    <fill>
      <patternFill patternType="solid">
        <fgColor theme="7"/>
        <bgColor indexed="64"/>
      </patternFill>
    </fill>
    <fill>
      <patternFill patternType="solid">
        <fgColor theme="1"/>
        <bgColor indexed="64"/>
      </patternFill>
    </fill>
    <fill>
      <patternFill patternType="solid">
        <fgColor rgb="FF1C1323"/>
        <bgColor indexed="64"/>
      </patternFill>
    </fill>
    <fill>
      <patternFill patternType="solid">
        <fgColor rgb="FF2A1A2F"/>
        <bgColor indexed="64"/>
      </patternFill>
    </fill>
    <fill>
      <patternFill patternType="solid">
        <fgColor rgb="FF3B2438"/>
        <bgColor indexed="64"/>
      </patternFill>
    </fill>
    <fill>
      <patternFill patternType="solid">
        <fgColor rgb="FFF7F2EB"/>
        <bgColor indexed="64"/>
      </patternFill>
    </fill>
    <fill>
      <patternFill patternType="solid">
        <fgColor rgb="FFEDE3D6"/>
        <bgColor indexed="64"/>
      </patternFill>
    </fill>
    <fill>
      <patternFill patternType="solid">
        <fgColor rgb="FFC6A16E"/>
        <bgColor indexed="64"/>
      </patternFill>
    </fill>
    <fill>
      <patternFill patternType="solid">
        <fgColor rgb="FFF2EDE6"/>
        <bgColor indexed="64"/>
      </patternFill>
    </fill>
  </fills>
  <borders count="131">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9BD2"/>
      </left>
      <right/>
      <top style="medium">
        <color rgb="FF009BD2"/>
      </top>
      <bottom style="medium">
        <color rgb="FF009BD2"/>
      </bottom>
      <diagonal/>
    </border>
    <border>
      <left/>
      <right style="medium">
        <color rgb="FF009BD2"/>
      </right>
      <top style="medium">
        <color rgb="FF009BD2"/>
      </top>
      <bottom style="medium">
        <color rgb="FF009BD2"/>
      </bottom>
      <diagonal/>
    </border>
    <border>
      <left style="medium">
        <color theme="4"/>
      </left>
      <right style="thin">
        <color theme="4"/>
      </right>
      <top style="thin">
        <color theme="4"/>
      </top>
      <bottom style="thin">
        <color theme="4"/>
      </bottom>
      <diagonal/>
    </border>
    <border>
      <left style="thin">
        <color theme="4"/>
      </left>
      <right style="medium">
        <color theme="4"/>
      </right>
      <top style="thin">
        <color theme="4"/>
      </top>
      <bottom/>
      <diagonal/>
    </border>
    <border>
      <left style="medium">
        <color theme="4"/>
      </left>
      <right/>
      <top style="thin">
        <color theme="4"/>
      </top>
      <bottom style="thin">
        <color theme="4"/>
      </bottom>
      <diagonal/>
    </border>
    <border>
      <left/>
      <right style="medium">
        <color theme="4"/>
      </right>
      <top style="thin">
        <color theme="4"/>
      </top>
      <bottom style="thin">
        <color theme="4"/>
      </bottom>
      <diagonal/>
    </border>
    <border>
      <left style="thin">
        <color theme="4"/>
      </left>
      <right style="medium">
        <color theme="4"/>
      </right>
      <top style="thin">
        <color theme="4"/>
      </top>
      <bottom style="thin">
        <color theme="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1D1B10"/>
      </left>
      <right style="medium">
        <color rgb="FF1D1B10"/>
      </right>
      <top style="medium">
        <color rgb="FF1D1B10"/>
      </top>
      <bottom/>
      <diagonal/>
    </border>
    <border>
      <left style="medium">
        <color rgb="FF1D1B10"/>
      </left>
      <right style="medium">
        <color rgb="FF1D1B10"/>
      </right>
      <top/>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rgb="FF1D1B10"/>
      </left>
      <right style="medium">
        <color rgb="FF1D1B10"/>
      </right>
      <top/>
      <bottom style="medium">
        <color rgb="FF1D1B10"/>
      </bottom>
      <diagonal/>
    </border>
    <border>
      <left/>
      <right style="medium">
        <color rgb="FF1D1B10"/>
      </right>
      <top/>
      <bottom/>
      <diagonal/>
    </border>
    <border>
      <left/>
      <right style="medium">
        <color rgb="FF1D1B10"/>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3"/>
      </top>
      <bottom style="thin">
        <color indexed="63"/>
      </bottom>
      <diagonal/>
    </border>
    <border>
      <left/>
      <right style="thin">
        <color indexed="63"/>
      </right>
      <top style="medium">
        <color indexed="64"/>
      </top>
      <bottom style="thin">
        <color indexed="63"/>
      </bottom>
      <diagonal/>
    </border>
    <border>
      <left style="thin">
        <color indexed="63"/>
      </left>
      <right style="medium">
        <color indexed="64"/>
      </right>
      <top style="medium">
        <color indexed="64"/>
      </top>
      <bottom style="thin">
        <color indexed="63"/>
      </bottom>
      <diagonal/>
    </border>
    <border>
      <left style="thin">
        <color indexed="64"/>
      </left>
      <right style="medium">
        <color indexed="64"/>
      </right>
      <top style="thin">
        <color indexed="64"/>
      </top>
      <bottom style="thin">
        <color indexed="64"/>
      </bottom>
      <diagonal/>
    </border>
    <border>
      <left/>
      <right style="thin">
        <color indexed="63"/>
      </right>
      <top style="thin">
        <color indexed="63"/>
      </top>
      <bottom style="thin">
        <color indexed="63"/>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3"/>
      </top>
      <bottom style="medium">
        <color indexed="64"/>
      </bottom>
      <diagonal/>
    </border>
    <border>
      <left/>
      <right style="thin">
        <color indexed="63"/>
      </right>
      <top style="thin">
        <color indexed="63"/>
      </top>
      <bottom style="medium">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3"/>
      </left>
      <right style="thin">
        <color indexed="63"/>
      </right>
      <top style="medium">
        <color indexed="64"/>
      </top>
      <bottom style="thin">
        <color indexed="63"/>
      </bottom>
      <diagonal/>
    </border>
    <border>
      <left/>
      <right style="medium">
        <color indexed="64"/>
      </right>
      <top style="thin">
        <color indexed="64"/>
      </top>
      <bottom style="thin">
        <color indexed="64"/>
      </bottom>
      <diagonal/>
    </border>
    <border>
      <left style="thin">
        <color indexed="63"/>
      </left>
      <right style="medium">
        <color indexed="64"/>
      </right>
      <top style="thin">
        <color indexed="63"/>
      </top>
      <bottom style="thin">
        <color indexed="63"/>
      </bottom>
      <diagonal/>
    </border>
    <border>
      <left/>
      <right style="medium">
        <color indexed="64"/>
      </right>
      <top style="thin">
        <color indexed="64"/>
      </top>
      <bottom style="medium">
        <color indexed="64"/>
      </bottom>
      <diagonal/>
    </border>
    <border>
      <left style="thin">
        <color indexed="63"/>
      </left>
      <right style="medium">
        <color indexed="64"/>
      </right>
      <top style="thin">
        <color indexed="63"/>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style="thin">
        <color indexed="63"/>
      </left>
      <right/>
      <top style="medium">
        <color indexed="64"/>
      </top>
      <bottom/>
      <diagonal/>
    </border>
    <border>
      <left style="thin">
        <color indexed="63"/>
      </left>
      <right/>
      <top style="thin">
        <color indexed="63"/>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ck">
        <color auto="1"/>
      </left>
      <right style="thick">
        <color auto="1"/>
      </right>
      <top style="thick">
        <color auto="1"/>
      </top>
      <bottom/>
      <diagonal/>
    </border>
    <border>
      <left style="medium">
        <color theme="6"/>
      </left>
      <right/>
      <top/>
      <bottom style="medium">
        <color theme="6"/>
      </bottom>
      <diagonal/>
    </border>
    <border>
      <left/>
      <right/>
      <top/>
      <bottom style="medium">
        <color theme="6"/>
      </bottom>
      <diagonal/>
    </border>
    <border>
      <left/>
      <right style="medium">
        <color theme="6"/>
      </right>
      <top/>
      <bottom style="medium">
        <color theme="6"/>
      </bottom>
      <diagonal/>
    </border>
    <border>
      <left style="medium">
        <color theme="6"/>
      </left>
      <right style="thin">
        <color theme="6"/>
      </right>
      <top style="medium">
        <color theme="6"/>
      </top>
      <bottom style="thin">
        <color theme="6"/>
      </bottom>
      <diagonal/>
    </border>
    <border>
      <left style="thin">
        <color theme="6"/>
      </left>
      <right style="thin">
        <color theme="6"/>
      </right>
      <top style="medium">
        <color theme="6"/>
      </top>
      <bottom style="thin">
        <color theme="6"/>
      </bottom>
      <diagonal/>
    </border>
    <border>
      <left style="thin">
        <color theme="6"/>
      </left>
      <right style="medium">
        <color theme="6"/>
      </right>
      <top style="medium">
        <color theme="6"/>
      </top>
      <bottom style="thin">
        <color theme="6"/>
      </bottom>
      <diagonal/>
    </border>
    <border>
      <left style="medium">
        <color theme="6"/>
      </left>
      <right style="thin">
        <color theme="6"/>
      </right>
      <top style="thin">
        <color theme="6"/>
      </top>
      <bottom style="thin">
        <color theme="6"/>
      </bottom>
      <diagonal/>
    </border>
    <border>
      <left style="thin">
        <color theme="6"/>
      </left>
      <right style="thin">
        <color theme="6"/>
      </right>
      <top style="thin">
        <color theme="6"/>
      </top>
      <bottom style="thin">
        <color theme="6"/>
      </bottom>
      <diagonal/>
    </border>
    <border>
      <left style="thin">
        <color theme="6"/>
      </left>
      <right style="medium">
        <color theme="6"/>
      </right>
      <top style="thin">
        <color theme="6"/>
      </top>
      <bottom style="thin">
        <color theme="6"/>
      </bottom>
      <diagonal/>
    </border>
    <border>
      <left style="medium">
        <color theme="6"/>
      </left>
      <right style="thin">
        <color theme="6"/>
      </right>
      <top style="thin">
        <color theme="6"/>
      </top>
      <bottom style="medium">
        <color theme="6"/>
      </bottom>
      <diagonal/>
    </border>
    <border>
      <left style="thin">
        <color theme="6"/>
      </left>
      <right style="thin">
        <color theme="6"/>
      </right>
      <top style="thin">
        <color theme="6"/>
      </top>
      <bottom style="medium">
        <color theme="6"/>
      </bottom>
      <diagonal/>
    </border>
    <border>
      <left style="thin">
        <color theme="6"/>
      </left>
      <right style="medium">
        <color theme="6"/>
      </right>
      <top style="thin">
        <color theme="6"/>
      </top>
      <bottom style="medium">
        <color theme="6"/>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top style="medium">
        <color rgb="FF7030A0"/>
      </top>
      <bottom style="medium">
        <color rgb="FF7030A0"/>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top style="medium">
        <color rgb="FF009BD2"/>
      </top>
      <bottom style="medium">
        <color theme="4"/>
      </bottom>
      <diagonal/>
    </border>
    <border>
      <left/>
      <right style="medium">
        <color theme="4"/>
      </right>
      <top style="medium">
        <color rgb="FF009BD2"/>
      </top>
      <bottom style="medium">
        <color theme="4"/>
      </bottom>
      <diagonal/>
    </border>
    <border>
      <left style="medium">
        <color theme="4"/>
      </left>
      <right/>
      <top style="medium">
        <color theme="4"/>
      </top>
      <bottom style="medium">
        <color rgb="FF009BD2"/>
      </bottom>
      <diagonal/>
    </border>
    <border>
      <left/>
      <right style="medium">
        <color theme="4"/>
      </right>
      <top style="medium">
        <color theme="4"/>
      </top>
      <bottom style="medium">
        <color rgb="FF009BD2"/>
      </bottom>
      <diagonal/>
    </border>
    <border>
      <left style="medium">
        <color theme="4"/>
      </left>
      <right/>
      <top style="medium">
        <color theme="4"/>
      </top>
      <bottom style="thin">
        <color theme="4"/>
      </bottom>
      <diagonal/>
    </border>
    <border>
      <left/>
      <right style="medium">
        <color theme="4"/>
      </right>
      <top style="medium">
        <color theme="4"/>
      </top>
      <bottom style="thin">
        <color theme="4"/>
      </bottom>
      <diagonal/>
    </border>
    <border>
      <left/>
      <right/>
      <top/>
      <bottom style="medium">
        <color theme="4"/>
      </bottom>
      <diagonal/>
    </border>
    <border>
      <left/>
      <right/>
      <top/>
      <bottom style="thin">
        <color auto="1"/>
      </bottom>
      <diagonal/>
    </border>
    <border>
      <left style="thin">
        <color rgb="FFC6A16E"/>
      </left>
      <right style="thin">
        <color rgb="FFC6A16E"/>
      </right>
      <top style="thin">
        <color rgb="FFC6A16E"/>
      </top>
      <bottom style="thin">
        <color rgb="FFC6A16E"/>
      </bottom>
      <diagonal/>
    </border>
    <border>
      <left style="thin">
        <color rgb="FFC6A16E"/>
      </left>
      <right style="medium">
        <color indexed="64"/>
      </right>
      <top style="thin">
        <color rgb="FFC6A16E"/>
      </top>
      <bottom style="medium">
        <color indexed="64"/>
      </bottom>
      <diagonal/>
    </border>
    <border>
      <left style="thin">
        <color rgb="FFC6A16E"/>
      </left>
      <right style="thin">
        <color rgb="FFC6A16E"/>
      </right>
      <top style="thin">
        <color rgb="FFC6A16E"/>
      </top>
      <bottom style="medium">
        <color indexed="64"/>
      </bottom>
      <diagonal/>
    </border>
    <border>
      <left style="thin">
        <color rgb="FFC6A16E"/>
      </left>
      <right style="thin">
        <color rgb="FFC6A16E"/>
      </right>
      <top style="thin">
        <color rgb="FFC6A16E"/>
      </top>
      <bottom/>
      <diagonal/>
    </border>
    <border>
      <left style="thin">
        <color rgb="FFC6A16E"/>
      </left>
      <right style="thin">
        <color indexed="64"/>
      </right>
      <top style="thin">
        <color rgb="FFC6A16E"/>
      </top>
      <bottom style="thin">
        <color indexed="64"/>
      </bottom>
      <diagonal/>
    </border>
    <border>
      <left style="thin">
        <color indexed="64"/>
      </left>
      <right style="thin">
        <color indexed="64"/>
      </right>
      <top style="thin">
        <color rgb="FFC6A16E"/>
      </top>
      <bottom style="thin">
        <color indexed="64"/>
      </bottom>
      <diagonal/>
    </border>
    <border>
      <left style="thin">
        <color rgb="FFC6A16E"/>
      </left>
      <right style="thin">
        <color indexed="64"/>
      </right>
      <top style="thin">
        <color indexed="64"/>
      </top>
      <bottom style="thin">
        <color indexed="64"/>
      </bottom>
      <diagonal/>
    </border>
    <border>
      <left style="thin">
        <color rgb="FFC6A16E"/>
      </left>
      <right/>
      <top style="thin">
        <color indexed="64"/>
      </top>
      <bottom style="thin">
        <color indexed="64"/>
      </bottom>
      <diagonal/>
    </border>
    <border>
      <left style="thin">
        <color rgb="FFC6A16E"/>
      </left>
      <right/>
      <top style="thin">
        <color indexed="64"/>
      </top>
      <bottom style="thin">
        <color rgb="FFC6A16E"/>
      </bottom>
      <diagonal/>
    </border>
    <border>
      <left/>
      <right style="thin">
        <color indexed="64"/>
      </right>
      <top style="thin">
        <color indexed="64"/>
      </top>
      <bottom style="thin">
        <color rgb="FFC6A16E"/>
      </bottom>
      <diagonal/>
    </border>
    <border>
      <left style="thin">
        <color indexed="64"/>
      </left>
      <right style="thin">
        <color indexed="64"/>
      </right>
      <top style="thin">
        <color indexed="64"/>
      </top>
      <bottom style="thin">
        <color rgb="FFC6A16E"/>
      </bottom>
      <diagonal/>
    </border>
    <border>
      <left style="thin">
        <color rgb="FFC6A16E"/>
      </left>
      <right style="thin">
        <color rgb="FFC6A16E"/>
      </right>
      <top/>
      <bottom style="thin">
        <color rgb="FFC6A16E"/>
      </bottom>
      <diagonal/>
    </border>
  </borders>
  <cellStyleXfs count="21">
    <xf numFmtId="0" fontId="0" fillId="0" borderId="0"/>
    <xf numFmtId="0" fontId="1" fillId="2" borderId="1" applyNumberFormat="0" applyAlignment="0" applyProtection="0"/>
    <xf numFmtId="0" fontId="2" fillId="0" borderId="0"/>
    <xf numFmtId="0" fontId="7" fillId="0" borderId="0"/>
    <xf numFmtId="168" fontId="2" fillId="0" borderId="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1" fillId="2" borderId="1"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0" fontId="49" fillId="0" borderId="0" applyNumberFormat="0" applyFill="0" applyBorder="0" applyAlignment="0" applyProtection="0"/>
    <xf numFmtId="0" fontId="62" fillId="24" borderId="0" applyNumberFormat="0" applyBorder="0" applyAlignment="0" applyProtection="0"/>
    <xf numFmtId="0" fontId="61" fillId="25" borderId="0" applyNumberFormat="0" applyBorder="0" applyAlignment="0" applyProtection="0"/>
    <xf numFmtId="0" fontId="61" fillId="26" borderId="0" applyNumberFormat="0" applyBorder="0" applyAlignment="0" applyProtection="0"/>
    <xf numFmtId="0" fontId="61" fillId="27" borderId="0" applyNumberFormat="0" applyBorder="0" applyAlignment="0" applyProtection="0"/>
    <xf numFmtId="0" fontId="73" fillId="31" borderId="0">
      <alignment horizontal="center" vertical="center" wrapText="1"/>
      <protection hidden="1"/>
    </xf>
    <xf numFmtId="0" fontId="74" fillId="32" borderId="36">
      <alignment horizontal="center" vertical="center" shrinkToFit="1"/>
      <protection hidden="1"/>
    </xf>
    <xf numFmtId="0" fontId="75" fillId="33" borderId="0">
      <alignment horizontal="center" vertical="center"/>
      <protection hidden="1"/>
    </xf>
    <xf numFmtId="0" fontId="76" fillId="34" borderId="119">
      <alignment horizontal="center" vertical="center"/>
      <protection hidden="1"/>
    </xf>
    <xf numFmtId="0" fontId="90" fillId="35" borderId="36">
      <alignment horizontal="center" vertical="center"/>
      <protection hidden="1"/>
    </xf>
    <xf numFmtId="165" fontId="77" fillId="36" borderId="18">
      <alignment horizontal="center" vertical="center"/>
      <protection hidden="1"/>
    </xf>
  </cellStyleXfs>
  <cellXfs count="770">
    <xf numFmtId="0" fontId="0" fillId="0" borderId="0" xfId="0"/>
    <xf numFmtId="0" fontId="2" fillId="3" borderId="0" xfId="2" applyFill="1"/>
    <xf numFmtId="0" fontId="8" fillId="4" borderId="12" xfId="2" applyFont="1" applyFill="1" applyBorder="1" applyAlignment="1">
      <alignment horizontal="center" vertical="center"/>
    </xf>
    <xf numFmtId="0" fontId="2" fillId="3" borderId="17" xfId="2" applyFill="1" applyBorder="1"/>
    <xf numFmtId="0" fontId="2" fillId="3" borderId="0" xfId="2" applyFill="1" applyAlignment="1">
      <alignment wrapText="1"/>
    </xf>
    <xf numFmtId="0" fontId="7" fillId="3" borderId="0" xfId="3" applyFill="1"/>
    <xf numFmtId="0" fontId="2" fillId="3" borderId="0" xfId="3" applyFont="1" applyFill="1"/>
    <xf numFmtId="0" fontId="9" fillId="3" borderId="0" xfId="3" applyFont="1" applyFill="1" applyAlignment="1">
      <alignment horizontal="center" vertical="center"/>
    </xf>
    <xf numFmtId="17" fontId="7" fillId="3" borderId="22" xfId="3" applyNumberFormat="1" applyFill="1" applyBorder="1"/>
    <xf numFmtId="0" fontId="7" fillId="3" borderId="4" xfId="3" applyFill="1" applyBorder="1"/>
    <xf numFmtId="17" fontId="7" fillId="3" borderId="23" xfId="3" applyNumberFormat="1" applyFill="1" applyBorder="1"/>
    <xf numFmtId="0" fontId="7" fillId="3" borderId="21" xfId="3" applyFill="1" applyBorder="1"/>
    <xf numFmtId="0" fontId="4" fillId="3" borderId="0" xfId="3" applyFont="1" applyFill="1" applyAlignment="1">
      <alignment horizontal="center" vertical="center"/>
    </xf>
    <xf numFmtId="0" fontId="4" fillId="3" borderId="0" xfId="3" applyFont="1" applyFill="1" applyAlignment="1">
      <alignment horizontal="center"/>
    </xf>
    <xf numFmtId="0" fontId="7" fillId="3" borderId="6" xfId="3" applyFill="1" applyBorder="1"/>
    <xf numFmtId="0" fontId="7" fillId="3" borderId="9" xfId="3" applyFill="1" applyBorder="1"/>
    <xf numFmtId="0" fontId="4" fillId="3" borderId="0" xfId="3" applyFont="1" applyFill="1"/>
    <xf numFmtId="49" fontId="7" fillId="3" borderId="0" xfId="3" applyNumberFormat="1" applyFill="1"/>
    <xf numFmtId="17" fontId="7" fillId="3" borderId="0" xfId="3" applyNumberFormat="1" applyFill="1"/>
    <xf numFmtId="0" fontId="7" fillId="3" borderId="0" xfId="3" applyFill="1" applyAlignment="1">
      <alignment horizontal="center"/>
    </xf>
    <xf numFmtId="0" fontId="2" fillId="3" borderId="0" xfId="3" applyFont="1" applyFill="1" applyAlignment="1">
      <alignment horizontal="center" vertical="center" wrapText="1"/>
    </xf>
    <xf numFmtId="17" fontId="4" fillId="8" borderId="18" xfId="2" applyNumberFormat="1" applyFont="1" applyFill="1" applyBorder="1" applyAlignment="1" applyProtection="1">
      <alignment horizontal="center" vertical="center"/>
      <protection hidden="1"/>
    </xf>
    <xf numFmtId="17" fontId="4" fillId="8" borderId="19" xfId="2" applyNumberFormat="1" applyFont="1" applyFill="1" applyBorder="1" applyAlignment="1" applyProtection="1">
      <alignment horizontal="center" vertical="center"/>
      <protection hidden="1"/>
    </xf>
    <xf numFmtId="17" fontId="6" fillId="8" borderId="19" xfId="2" applyNumberFormat="1" applyFont="1" applyFill="1" applyBorder="1" applyAlignment="1" applyProtection="1">
      <alignment horizontal="center" vertical="center"/>
      <protection hidden="1"/>
    </xf>
    <xf numFmtId="0" fontId="30" fillId="9" borderId="18" xfId="2" applyFont="1" applyFill="1" applyBorder="1" applyAlignment="1" applyProtection="1">
      <alignment horizontal="center" vertical="center"/>
      <protection hidden="1"/>
    </xf>
    <xf numFmtId="0" fontId="14" fillId="9" borderId="19" xfId="2" applyFont="1" applyFill="1" applyBorder="1" applyAlignment="1" applyProtection="1">
      <alignment horizontal="center" vertical="center"/>
      <protection hidden="1"/>
    </xf>
    <xf numFmtId="0" fontId="14" fillId="0" borderId="31" xfId="2" applyFont="1" applyBorder="1" applyAlignment="1" applyProtection="1">
      <alignment horizontal="center"/>
      <protection hidden="1"/>
    </xf>
    <xf numFmtId="0" fontId="2" fillId="0" borderId="0" xfId="2"/>
    <xf numFmtId="0" fontId="4" fillId="0" borderId="34" xfId="2" applyFont="1" applyBorder="1" applyAlignment="1" applyProtection="1">
      <alignment horizontal="center"/>
      <protection hidden="1"/>
    </xf>
    <xf numFmtId="0" fontId="2" fillId="0" borderId="35" xfId="2" applyBorder="1" applyProtection="1">
      <protection hidden="1"/>
    </xf>
    <xf numFmtId="0" fontId="2" fillId="0" borderId="0" xfId="2" applyProtection="1">
      <protection hidden="1"/>
    </xf>
    <xf numFmtId="0" fontId="2" fillId="0" borderId="36" xfId="2" applyBorder="1" applyProtection="1">
      <protection hidden="1"/>
    </xf>
    <xf numFmtId="0" fontId="14" fillId="3" borderId="0" xfId="2" applyFont="1" applyFill="1" applyAlignment="1" applyProtection="1">
      <alignment horizontal="right" vertical="center"/>
      <protection hidden="1"/>
    </xf>
    <xf numFmtId="3" fontId="2" fillId="3" borderId="0" xfId="2" applyNumberFormat="1" applyFill="1" applyProtection="1">
      <protection hidden="1"/>
    </xf>
    <xf numFmtId="3" fontId="4" fillId="3" borderId="0" xfId="2" applyNumberFormat="1" applyFont="1" applyFill="1" applyProtection="1">
      <protection hidden="1"/>
    </xf>
    <xf numFmtId="0" fontId="7" fillId="3" borderId="0" xfId="3" applyFill="1" applyProtection="1">
      <protection hidden="1"/>
    </xf>
    <xf numFmtId="0" fontId="2" fillId="3" borderId="0" xfId="3" applyFont="1" applyFill="1" applyProtection="1">
      <protection hidden="1"/>
    </xf>
    <xf numFmtId="0" fontId="23" fillId="3" borderId="0" xfId="3" applyFont="1" applyFill="1" applyProtection="1">
      <protection hidden="1"/>
    </xf>
    <xf numFmtId="0" fontId="9" fillId="3" borderId="0" xfId="3" applyFont="1" applyFill="1" applyAlignment="1" applyProtection="1">
      <alignment horizontal="left" vertical="center"/>
      <protection hidden="1"/>
    </xf>
    <xf numFmtId="3" fontId="26" fillId="3" borderId="0" xfId="2" applyNumberFormat="1" applyFont="1" applyFill="1" applyProtection="1">
      <protection hidden="1"/>
    </xf>
    <xf numFmtId="0" fontId="30" fillId="10" borderId="22" xfId="3" applyFont="1" applyFill="1" applyBorder="1" applyAlignment="1" applyProtection="1">
      <alignment horizontal="center" vertical="center" wrapText="1"/>
      <protection locked="0" hidden="1"/>
    </xf>
    <xf numFmtId="0" fontId="30" fillId="10" borderId="22" xfId="3" applyFont="1" applyFill="1" applyBorder="1" applyAlignment="1" applyProtection="1">
      <alignment horizontal="center" vertical="center" wrapText="1"/>
      <protection hidden="1"/>
    </xf>
    <xf numFmtId="0" fontId="5" fillId="6" borderId="36" xfId="3" applyFont="1" applyFill="1" applyBorder="1" applyAlignment="1" applyProtection="1">
      <alignment horizontal="center" vertical="center" wrapText="1"/>
      <protection hidden="1"/>
    </xf>
    <xf numFmtId="0" fontId="5" fillId="6" borderId="49" xfId="3" applyFont="1" applyFill="1" applyBorder="1" applyAlignment="1" applyProtection="1">
      <alignment horizontal="center" vertical="center" wrapText="1"/>
      <protection hidden="1"/>
    </xf>
    <xf numFmtId="0" fontId="36" fillId="17" borderId="36" xfId="3" applyFont="1" applyFill="1" applyBorder="1" applyAlignment="1" applyProtection="1">
      <alignment horizontal="center" vertical="center" wrapText="1"/>
      <protection hidden="1"/>
    </xf>
    <xf numFmtId="0" fontId="5" fillId="17" borderId="41" xfId="3" applyFont="1" applyFill="1" applyBorder="1" applyAlignment="1" applyProtection="1">
      <alignment horizontal="center" vertical="center" wrapText="1"/>
      <protection hidden="1"/>
    </xf>
    <xf numFmtId="0" fontId="5" fillId="17" borderId="36" xfId="3" applyFont="1" applyFill="1" applyBorder="1" applyAlignment="1" applyProtection="1">
      <alignment horizontal="center" vertical="center" wrapText="1"/>
      <protection hidden="1"/>
    </xf>
    <xf numFmtId="9" fontId="2" fillId="5" borderId="28" xfId="3" applyNumberFormat="1" applyFont="1" applyFill="1" applyBorder="1" applyAlignment="1" applyProtection="1">
      <alignment horizontal="center" vertical="center"/>
      <protection locked="0" hidden="1"/>
    </xf>
    <xf numFmtId="165" fontId="2" fillId="3" borderId="41" xfId="3" applyNumberFormat="1" applyFont="1" applyFill="1" applyBorder="1" applyAlignment="1" applyProtection="1">
      <alignment horizontal="center" vertical="center"/>
      <protection locked="0" hidden="1"/>
    </xf>
    <xf numFmtId="9" fontId="2" fillId="3" borderId="36" xfId="3" applyNumberFormat="1" applyFont="1" applyFill="1" applyBorder="1" applyAlignment="1" applyProtection="1">
      <alignment horizontal="center" vertical="center"/>
      <protection locked="0" hidden="1"/>
    </xf>
    <xf numFmtId="165" fontId="2" fillId="3" borderId="36" xfId="3" applyNumberFormat="1" applyFont="1" applyFill="1" applyBorder="1" applyAlignment="1" applyProtection="1">
      <alignment horizontal="center" vertical="center"/>
      <protection locked="0" hidden="1"/>
    </xf>
    <xf numFmtId="9" fontId="2" fillId="5" borderId="30" xfId="3" applyNumberFormat="1" applyFont="1" applyFill="1" applyBorder="1" applyAlignment="1" applyProtection="1">
      <alignment horizontal="center" vertical="center"/>
      <protection locked="0" hidden="1"/>
    </xf>
    <xf numFmtId="9" fontId="2" fillId="5" borderId="50" xfId="3" applyNumberFormat="1" applyFont="1" applyFill="1" applyBorder="1" applyAlignment="1" applyProtection="1">
      <alignment horizontal="center" vertical="center"/>
      <protection locked="0" hidden="1"/>
    </xf>
    <xf numFmtId="0" fontId="7" fillId="3" borderId="0" xfId="3" applyFill="1" applyAlignment="1" applyProtection="1">
      <alignment vertical="center"/>
      <protection hidden="1"/>
    </xf>
    <xf numFmtId="0" fontId="23" fillId="3" borderId="2" xfId="3" applyFont="1" applyFill="1" applyBorder="1" applyAlignment="1" applyProtection="1">
      <alignment horizontal="center" vertical="center"/>
      <protection hidden="1"/>
    </xf>
    <xf numFmtId="0" fontId="33" fillId="3" borderId="0" xfId="3" applyFont="1" applyFill="1" applyAlignment="1" applyProtection="1">
      <alignment horizontal="center" vertical="center"/>
      <protection hidden="1"/>
    </xf>
    <xf numFmtId="0" fontId="7" fillId="6" borderId="22" xfId="3" applyFill="1" applyBorder="1" applyProtection="1">
      <protection hidden="1"/>
    </xf>
    <xf numFmtId="0" fontId="7" fillId="6" borderId="23" xfId="3" applyFill="1" applyBorder="1" applyProtection="1">
      <protection hidden="1"/>
    </xf>
    <xf numFmtId="170" fontId="7" fillId="3" borderId="56" xfId="3" applyNumberFormat="1" applyFill="1" applyBorder="1" applyProtection="1">
      <protection hidden="1"/>
    </xf>
    <xf numFmtId="170" fontId="2" fillId="3" borderId="57" xfId="3" applyNumberFormat="1" applyFont="1" applyFill="1" applyBorder="1" applyProtection="1">
      <protection hidden="1"/>
    </xf>
    <xf numFmtId="170" fontId="7" fillId="3" borderId="59" xfId="3" applyNumberFormat="1" applyFill="1" applyBorder="1" applyProtection="1">
      <protection hidden="1"/>
    </xf>
    <xf numFmtId="0" fontId="2" fillId="3" borderId="0" xfId="3" applyFont="1" applyFill="1" applyAlignment="1" applyProtection="1">
      <alignment vertical="center"/>
      <protection hidden="1"/>
    </xf>
    <xf numFmtId="0" fontId="7" fillId="6" borderId="24" xfId="3" applyFill="1" applyBorder="1" applyProtection="1">
      <protection hidden="1"/>
    </xf>
    <xf numFmtId="170" fontId="7" fillId="3" borderId="64" xfId="3" applyNumberFormat="1" applyFill="1" applyBorder="1" applyProtection="1">
      <protection hidden="1"/>
    </xf>
    <xf numFmtId="0" fontId="4" fillId="3" borderId="0" xfId="3" applyFont="1" applyFill="1" applyAlignment="1" applyProtection="1">
      <alignment horizontal="left" vertical="center"/>
      <protection hidden="1"/>
    </xf>
    <xf numFmtId="171" fontId="7" fillId="3" borderId="0" xfId="3" applyNumberFormat="1" applyFill="1" applyAlignment="1" applyProtection="1">
      <alignment horizontal="center"/>
      <protection hidden="1"/>
    </xf>
    <xf numFmtId="42" fontId="4" fillId="10" borderId="18" xfId="3" applyNumberFormat="1" applyFont="1" applyFill="1" applyBorder="1" applyAlignment="1" applyProtection="1">
      <alignment horizontal="center" vertical="center"/>
      <protection hidden="1"/>
    </xf>
    <xf numFmtId="165" fontId="4" fillId="3" borderId="0" xfId="3" applyNumberFormat="1" applyFont="1" applyFill="1" applyAlignment="1" applyProtection="1">
      <alignment horizontal="center" vertical="center"/>
      <protection hidden="1"/>
    </xf>
    <xf numFmtId="42" fontId="4" fillId="3" borderId="0" xfId="3" applyNumberFormat="1" applyFont="1" applyFill="1" applyAlignment="1" applyProtection="1">
      <alignment horizontal="center" vertical="center"/>
      <protection hidden="1"/>
    </xf>
    <xf numFmtId="0" fontId="4" fillId="3" borderId="18" xfId="3" applyFont="1" applyFill="1" applyBorder="1" applyAlignment="1" applyProtection="1">
      <alignment horizontal="right"/>
      <protection hidden="1"/>
    </xf>
    <xf numFmtId="0" fontId="9" fillId="3" borderId="0" xfId="3" applyFont="1" applyFill="1" applyAlignment="1" applyProtection="1">
      <alignment horizontal="center"/>
      <protection hidden="1"/>
    </xf>
    <xf numFmtId="9" fontId="7" fillId="3" borderId="0" xfId="3" applyNumberFormat="1" applyFill="1" applyAlignment="1" applyProtection="1">
      <alignment horizontal="center"/>
      <protection locked="0" hidden="1"/>
    </xf>
    <xf numFmtId="0" fontId="4" fillId="3" borderId="0" xfId="3" applyFont="1" applyFill="1" applyAlignment="1" applyProtection="1">
      <alignment horizontal="center"/>
      <protection locked="0" hidden="1"/>
    </xf>
    <xf numFmtId="0" fontId="4" fillId="3" borderId="0" xfId="3" applyFont="1" applyFill="1" applyAlignment="1" applyProtection="1">
      <alignment horizontal="center"/>
      <protection hidden="1"/>
    </xf>
    <xf numFmtId="3" fontId="7" fillId="3" borderId="0" xfId="3" applyNumberFormat="1" applyFill="1" applyProtection="1">
      <protection locked="0" hidden="1"/>
    </xf>
    <xf numFmtId="3" fontId="38" fillId="3" borderId="0" xfId="6" applyNumberFormat="1" applyFont="1" applyFill="1" applyBorder="1" applyAlignment="1" applyProtection="1">
      <alignment vertical="center"/>
      <protection hidden="1"/>
    </xf>
    <xf numFmtId="171" fontId="7" fillId="3" borderId="35" xfId="3" applyNumberFormat="1" applyFill="1" applyBorder="1" applyAlignment="1" applyProtection="1">
      <alignment horizontal="right"/>
      <protection hidden="1"/>
    </xf>
    <xf numFmtId="171" fontId="39" fillId="6" borderId="23" xfId="3" applyNumberFormat="1" applyFont="1" applyFill="1" applyBorder="1" applyAlignment="1" applyProtection="1">
      <alignment horizontal="right"/>
      <protection hidden="1"/>
    </xf>
    <xf numFmtId="171" fontId="7" fillId="3" borderId="67" xfId="3" applyNumberFormat="1" applyFill="1" applyBorder="1" applyAlignment="1" applyProtection="1">
      <alignment horizontal="center"/>
      <protection hidden="1"/>
    </xf>
    <xf numFmtId="1" fontId="7" fillId="3" borderId="68" xfId="3" applyNumberFormat="1" applyFill="1" applyBorder="1" applyAlignment="1" applyProtection="1">
      <alignment horizontal="center"/>
      <protection hidden="1"/>
    </xf>
    <xf numFmtId="9" fontId="0" fillId="3" borderId="59" xfId="5" applyFont="1" applyFill="1" applyBorder="1" applyProtection="1">
      <protection hidden="1"/>
    </xf>
    <xf numFmtId="42" fontId="7" fillId="3" borderId="69" xfId="3" applyNumberFormat="1" applyFill="1" applyBorder="1" applyProtection="1">
      <protection hidden="1"/>
    </xf>
    <xf numFmtId="42" fontId="7" fillId="3" borderId="57" xfId="3" applyNumberFormat="1" applyFill="1" applyBorder="1" applyProtection="1">
      <protection hidden="1"/>
    </xf>
    <xf numFmtId="0" fontId="38" fillId="3" borderId="0" xfId="3" applyFont="1" applyFill="1" applyProtection="1">
      <protection hidden="1"/>
    </xf>
    <xf numFmtId="171" fontId="7" fillId="3" borderId="70" xfId="3" applyNumberFormat="1" applyFill="1" applyBorder="1" applyAlignment="1" applyProtection="1">
      <alignment horizontal="center"/>
      <protection hidden="1"/>
    </xf>
    <xf numFmtId="1" fontId="7" fillId="3" borderId="41" xfId="3" applyNumberFormat="1" applyFill="1" applyBorder="1" applyAlignment="1" applyProtection="1">
      <alignment horizontal="center"/>
      <protection hidden="1"/>
    </xf>
    <xf numFmtId="42" fontId="7" fillId="3" borderId="44" xfId="3" applyNumberFormat="1" applyFill="1" applyBorder="1" applyProtection="1">
      <protection hidden="1"/>
    </xf>
    <xf numFmtId="42" fontId="7" fillId="3" borderId="71" xfId="3" applyNumberFormat="1" applyFill="1" applyBorder="1" applyProtection="1">
      <protection hidden="1"/>
    </xf>
    <xf numFmtId="42" fontId="4" fillId="3" borderId="0" xfId="3" applyNumberFormat="1" applyFont="1" applyFill="1" applyProtection="1">
      <protection hidden="1"/>
    </xf>
    <xf numFmtId="171" fontId="39" fillId="6" borderId="24" xfId="3" applyNumberFormat="1" applyFont="1" applyFill="1" applyBorder="1" applyAlignment="1" applyProtection="1">
      <alignment horizontal="right"/>
      <protection hidden="1"/>
    </xf>
    <xf numFmtId="171" fontId="7" fillId="3" borderId="72" xfId="3" applyNumberFormat="1" applyFill="1" applyBorder="1" applyAlignment="1" applyProtection="1">
      <alignment horizontal="center"/>
      <protection hidden="1"/>
    </xf>
    <xf numFmtId="1" fontId="7" fillId="3" borderId="66" xfId="3" applyNumberFormat="1" applyFill="1" applyBorder="1" applyAlignment="1" applyProtection="1">
      <alignment horizontal="center"/>
      <protection hidden="1"/>
    </xf>
    <xf numFmtId="9" fontId="0" fillId="3" borderId="64" xfId="5" applyFont="1" applyFill="1" applyBorder="1" applyProtection="1">
      <protection hidden="1"/>
    </xf>
    <xf numFmtId="42" fontId="7" fillId="3" borderId="73" xfId="3" applyNumberFormat="1" applyFill="1" applyBorder="1" applyProtection="1">
      <protection hidden="1"/>
    </xf>
    <xf numFmtId="0" fontId="14" fillId="3" borderId="18" xfId="3" applyFont="1" applyFill="1" applyBorder="1" applyAlignment="1" applyProtection="1">
      <alignment horizontal="center"/>
      <protection hidden="1"/>
    </xf>
    <xf numFmtId="171" fontId="38" fillId="3" borderId="0" xfId="3" applyNumberFormat="1" applyFont="1" applyFill="1" applyProtection="1">
      <protection hidden="1"/>
    </xf>
    <xf numFmtId="42" fontId="4" fillId="0" borderId="18" xfId="3" applyNumberFormat="1" applyFont="1" applyBorder="1" applyProtection="1">
      <protection hidden="1"/>
    </xf>
    <xf numFmtId="42" fontId="4" fillId="0" borderId="24" xfId="3" applyNumberFormat="1" applyFont="1" applyBorder="1" applyProtection="1">
      <protection hidden="1"/>
    </xf>
    <xf numFmtId="170" fontId="8" fillId="6" borderId="18" xfId="3" applyNumberFormat="1" applyFont="1" applyFill="1" applyBorder="1" applyAlignment="1" applyProtection="1">
      <alignment horizontal="center"/>
      <protection hidden="1"/>
    </xf>
    <xf numFmtId="42" fontId="4" fillId="10" borderId="18" xfId="3" applyNumberFormat="1" applyFont="1" applyFill="1" applyBorder="1" applyAlignment="1" applyProtection="1">
      <alignment horizontal="center"/>
      <protection hidden="1"/>
    </xf>
    <xf numFmtId="173" fontId="7" fillId="3" borderId="0" xfId="3" applyNumberFormat="1" applyFill="1" applyAlignment="1" applyProtection="1">
      <alignment horizontal="center"/>
      <protection hidden="1"/>
    </xf>
    <xf numFmtId="165" fontId="38" fillId="3" borderId="0" xfId="3" applyNumberFormat="1" applyFont="1" applyFill="1" applyProtection="1">
      <protection hidden="1"/>
    </xf>
    <xf numFmtId="0" fontId="14" fillId="3" borderId="0" xfId="3" applyFont="1" applyFill="1" applyAlignment="1" applyProtection="1">
      <alignment horizontal="left"/>
      <protection hidden="1"/>
    </xf>
    <xf numFmtId="171" fontId="14" fillId="3" borderId="0" xfId="3" applyNumberFormat="1" applyFont="1" applyFill="1" applyAlignment="1" applyProtection="1">
      <alignment horizontal="center"/>
      <protection hidden="1"/>
    </xf>
    <xf numFmtId="0" fontId="38" fillId="3" borderId="0" xfId="2" applyFont="1" applyFill="1" applyProtection="1">
      <protection hidden="1"/>
    </xf>
    <xf numFmtId="0" fontId="23" fillId="3" borderId="0" xfId="2" applyFont="1" applyFill="1" applyAlignment="1" applyProtection="1">
      <alignment horizontal="center" vertical="center"/>
      <protection hidden="1"/>
    </xf>
    <xf numFmtId="0" fontId="33" fillId="3" borderId="0" xfId="2" applyFont="1" applyFill="1" applyAlignment="1" applyProtection="1">
      <alignment horizontal="center" vertical="center"/>
      <protection hidden="1"/>
    </xf>
    <xf numFmtId="0" fontId="38" fillId="3" borderId="0" xfId="2" applyFont="1" applyFill="1" applyAlignment="1" applyProtection="1">
      <alignment horizontal="center" vertical="center" wrapText="1"/>
      <protection hidden="1"/>
    </xf>
    <xf numFmtId="0" fontId="2" fillId="3" borderId="0" xfId="2" applyFill="1" applyAlignment="1" applyProtection="1">
      <alignment wrapText="1"/>
      <protection hidden="1"/>
    </xf>
    <xf numFmtId="0" fontId="38" fillId="3" borderId="0" xfId="7" applyFont="1" applyFill="1" applyBorder="1" applyAlignment="1" applyProtection="1">
      <alignment horizontal="center" vertical="center"/>
      <protection hidden="1"/>
    </xf>
    <xf numFmtId="1" fontId="38" fillId="3" borderId="0" xfId="8" applyNumberFormat="1" applyFont="1" applyFill="1" applyBorder="1" applyAlignment="1" applyProtection="1">
      <alignment horizontal="center"/>
      <protection hidden="1"/>
    </xf>
    <xf numFmtId="164" fontId="38" fillId="5" borderId="70" xfId="7" applyNumberFormat="1" applyFont="1" applyFill="1" applyBorder="1" applyAlignment="1" applyProtection="1">
      <alignment horizontal="center" vertical="center"/>
      <protection locked="0" hidden="1"/>
    </xf>
    <xf numFmtId="0" fontId="38" fillId="3" borderId="0" xfId="2" applyFont="1" applyFill="1" applyAlignment="1" applyProtection="1">
      <alignment vertical="center"/>
      <protection hidden="1"/>
    </xf>
    <xf numFmtId="164" fontId="38" fillId="5" borderId="72" xfId="7" applyNumberFormat="1" applyFont="1" applyFill="1" applyBorder="1" applyAlignment="1" applyProtection="1">
      <alignment horizontal="center" vertical="center"/>
      <protection locked="0" hidden="1"/>
    </xf>
    <xf numFmtId="174" fontId="38" fillId="5" borderId="67" xfId="7" applyNumberFormat="1" applyFont="1" applyFill="1" applyBorder="1" applyAlignment="1" applyProtection="1">
      <alignment horizontal="center" vertical="center"/>
      <protection locked="0" hidden="1"/>
    </xf>
    <xf numFmtId="0" fontId="38" fillId="6" borderId="4" xfId="2" applyFont="1" applyFill="1" applyBorder="1" applyAlignment="1" applyProtection="1">
      <alignment vertical="center"/>
      <protection hidden="1"/>
    </xf>
    <xf numFmtId="0" fontId="37" fillId="6" borderId="75" xfId="2" applyFont="1" applyFill="1" applyBorder="1" applyAlignment="1" applyProtection="1">
      <alignment vertical="center"/>
      <protection hidden="1"/>
    </xf>
    <xf numFmtId="42" fontId="38" fillId="16" borderId="76" xfId="9" applyNumberFormat="1" applyFont="1" applyFill="1" applyBorder="1" applyAlignment="1" applyProtection="1">
      <alignment horizontal="center"/>
      <protection hidden="1"/>
    </xf>
    <xf numFmtId="0" fontId="38" fillId="6" borderId="22" xfId="2" applyFont="1" applyFill="1" applyBorder="1" applyProtection="1">
      <protection hidden="1"/>
    </xf>
    <xf numFmtId="0" fontId="37" fillId="6" borderId="65" xfId="2" applyFont="1" applyFill="1" applyBorder="1" applyAlignment="1" applyProtection="1">
      <alignment horizontal="left"/>
      <protection hidden="1"/>
    </xf>
    <xf numFmtId="165" fontId="38" fillId="16" borderId="28" xfId="9" applyNumberFormat="1" applyFont="1" applyFill="1" applyBorder="1" applyProtection="1">
      <protection hidden="1"/>
    </xf>
    <xf numFmtId="0" fontId="38" fillId="5" borderId="70" xfId="2" applyFont="1" applyFill="1" applyBorder="1" applyAlignment="1" applyProtection="1">
      <alignment horizontal="center" vertical="center"/>
      <protection locked="0" hidden="1"/>
    </xf>
    <xf numFmtId="0" fontId="38" fillId="6" borderId="6" xfId="2" applyFont="1" applyFill="1" applyBorder="1" applyAlignment="1" applyProtection="1">
      <alignment vertical="center"/>
      <protection hidden="1"/>
    </xf>
    <xf numFmtId="0" fontId="6" fillId="6" borderId="20" xfId="2" applyFont="1" applyFill="1" applyBorder="1" applyAlignment="1" applyProtection="1">
      <alignment vertical="center"/>
      <protection hidden="1"/>
    </xf>
    <xf numFmtId="42" fontId="14" fillId="16" borderId="19" xfId="9" applyNumberFormat="1" applyFont="1" applyFill="1" applyBorder="1" applyAlignment="1" applyProtection="1">
      <alignment horizontal="center"/>
      <protection hidden="1"/>
    </xf>
    <xf numFmtId="0" fontId="38" fillId="6" borderId="23" xfId="2" applyFont="1" applyFill="1" applyBorder="1" applyProtection="1">
      <protection hidden="1"/>
    </xf>
    <xf numFmtId="0" fontId="37" fillId="6" borderId="47" xfId="2" applyFont="1" applyFill="1" applyBorder="1" applyAlignment="1" applyProtection="1">
      <alignment horizontal="left"/>
      <protection hidden="1"/>
    </xf>
    <xf numFmtId="165" fontId="38" fillId="16" borderId="30" xfId="9" applyNumberFormat="1" applyFont="1" applyFill="1" applyBorder="1" applyAlignment="1" applyProtection="1">
      <alignment horizontal="right" vertical="center"/>
      <protection hidden="1"/>
    </xf>
    <xf numFmtId="0" fontId="38" fillId="10" borderId="6" xfId="2" applyFont="1" applyFill="1" applyBorder="1" applyAlignment="1" applyProtection="1">
      <alignment horizontal="center" vertical="center"/>
      <protection hidden="1"/>
    </xf>
    <xf numFmtId="0" fontId="37" fillId="6" borderId="40" xfId="2" applyFont="1" applyFill="1" applyBorder="1" applyAlignment="1" applyProtection="1">
      <alignment vertical="center"/>
      <protection hidden="1"/>
    </xf>
    <xf numFmtId="165" fontId="38" fillId="16" borderId="30" xfId="9" applyNumberFormat="1" applyFont="1" applyFill="1" applyBorder="1" applyProtection="1">
      <protection hidden="1"/>
    </xf>
    <xf numFmtId="0" fontId="38" fillId="3" borderId="41" xfId="2" applyFont="1" applyFill="1" applyBorder="1" applyProtection="1">
      <protection hidden="1"/>
    </xf>
    <xf numFmtId="175" fontId="38" fillId="10" borderId="70" xfId="2" applyNumberFormat="1" applyFont="1" applyFill="1" applyBorder="1" applyAlignment="1" applyProtection="1">
      <alignment horizontal="center" vertical="center"/>
      <protection hidden="1"/>
    </xf>
    <xf numFmtId="0" fontId="38" fillId="6" borderId="9" xfId="2" applyFont="1" applyFill="1" applyBorder="1" applyAlignment="1" applyProtection="1">
      <alignment vertical="center"/>
      <protection hidden="1"/>
    </xf>
    <xf numFmtId="0" fontId="37" fillId="6" borderId="66" xfId="2" applyFont="1" applyFill="1" applyBorder="1" applyAlignment="1" applyProtection="1">
      <alignment vertical="center"/>
      <protection hidden="1"/>
    </xf>
    <xf numFmtId="176" fontId="38" fillId="16" borderId="77" xfId="2" applyNumberFormat="1" applyFont="1" applyFill="1" applyBorder="1" applyAlignment="1" applyProtection="1">
      <alignment horizontal="center"/>
      <protection hidden="1"/>
    </xf>
    <xf numFmtId="0" fontId="38" fillId="6" borderId="24" xfId="2" applyFont="1" applyFill="1" applyBorder="1" applyProtection="1">
      <protection hidden="1"/>
    </xf>
    <xf numFmtId="0" fontId="37" fillId="6" borderId="78" xfId="2" applyFont="1" applyFill="1" applyBorder="1" applyAlignment="1" applyProtection="1">
      <alignment horizontal="left"/>
      <protection hidden="1"/>
    </xf>
    <xf numFmtId="165" fontId="38" fillId="16" borderId="50" xfId="9" applyNumberFormat="1" applyFont="1" applyFill="1" applyBorder="1" applyProtection="1">
      <protection hidden="1"/>
    </xf>
    <xf numFmtId="175" fontId="38" fillId="3" borderId="41" xfId="2" applyNumberFormat="1" applyFont="1" applyFill="1" applyBorder="1" applyProtection="1">
      <protection hidden="1"/>
    </xf>
    <xf numFmtId="173" fontId="2" fillId="3" borderId="0" xfId="2" applyNumberFormat="1" applyFill="1" applyAlignment="1" applyProtection="1">
      <alignment horizontal="center"/>
      <protection hidden="1"/>
    </xf>
    <xf numFmtId="165" fontId="38" fillId="3" borderId="0" xfId="2" applyNumberFormat="1" applyFont="1" applyFill="1" applyProtection="1">
      <protection hidden="1"/>
    </xf>
    <xf numFmtId="0" fontId="38" fillId="3" borderId="18" xfId="8" applyNumberFormat="1" applyFont="1" applyFill="1" applyBorder="1" applyAlignment="1" applyProtection="1">
      <alignment horizontal="center"/>
      <protection hidden="1"/>
    </xf>
    <xf numFmtId="0" fontId="40" fillId="3" borderId="0" xfId="2" applyFont="1" applyFill="1" applyProtection="1">
      <protection hidden="1"/>
    </xf>
    <xf numFmtId="0" fontId="14" fillId="3" borderId="0" xfId="2" applyFont="1" applyFill="1" applyProtection="1">
      <protection hidden="1"/>
    </xf>
    <xf numFmtId="173" fontId="4" fillId="3" borderId="0" xfId="2" applyNumberFormat="1" applyFont="1" applyFill="1" applyAlignment="1" applyProtection="1">
      <alignment horizontal="center"/>
      <protection hidden="1"/>
    </xf>
    <xf numFmtId="172" fontId="38" fillId="5" borderId="67" xfId="7" applyNumberFormat="1" applyFont="1" applyFill="1" applyBorder="1" applyAlignment="1" applyProtection="1">
      <alignment horizontal="center" vertical="center"/>
      <protection locked="0" hidden="1"/>
    </xf>
    <xf numFmtId="173" fontId="38" fillId="5" borderId="54" xfId="7" applyNumberFormat="1" applyFont="1" applyFill="1" applyBorder="1" applyAlignment="1" applyProtection="1">
      <alignment horizontal="center" vertical="center"/>
      <protection locked="0" hidden="1"/>
    </xf>
    <xf numFmtId="0" fontId="38" fillId="3" borderId="24" xfId="8" applyNumberFormat="1" applyFont="1" applyFill="1" applyBorder="1" applyAlignment="1" applyProtection="1">
      <alignment horizontal="center"/>
      <protection hidden="1"/>
    </xf>
    <xf numFmtId="0" fontId="9" fillId="18" borderId="0" xfId="2" applyFont="1" applyFill="1" applyAlignment="1" applyProtection="1">
      <alignment horizontal="center"/>
      <protection hidden="1"/>
    </xf>
    <xf numFmtId="173" fontId="38" fillId="3" borderId="0" xfId="7" applyNumberFormat="1" applyFont="1" applyFill="1" applyBorder="1" applyAlignment="1" applyProtection="1">
      <alignment horizontal="center" vertical="center"/>
      <protection hidden="1"/>
    </xf>
    <xf numFmtId="164" fontId="38" fillId="3" borderId="0" xfId="7" applyNumberFormat="1" applyFont="1" applyFill="1" applyBorder="1" applyAlignment="1" applyProtection="1">
      <alignment horizontal="center" vertical="center"/>
      <protection hidden="1"/>
    </xf>
    <xf numFmtId="0" fontId="9" fillId="3" borderId="0" xfId="2" applyFont="1" applyFill="1" applyProtection="1">
      <protection hidden="1"/>
    </xf>
    <xf numFmtId="44" fontId="38" fillId="3" borderId="0" xfId="2" applyNumberFormat="1" applyFont="1" applyFill="1" applyAlignment="1" applyProtection="1">
      <alignment horizontal="right" vertical="center"/>
      <protection hidden="1"/>
    </xf>
    <xf numFmtId="5" fontId="38" fillId="3" borderId="0" xfId="9" applyNumberFormat="1" applyFont="1" applyFill="1" applyBorder="1" applyAlignment="1" applyProtection="1">
      <alignment horizontal="center"/>
      <protection hidden="1"/>
    </xf>
    <xf numFmtId="0" fontId="38" fillId="3" borderId="0" xfId="2" applyFont="1" applyFill="1" applyAlignment="1" applyProtection="1">
      <alignment horizontal="left"/>
      <protection hidden="1"/>
    </xf>
    <xf numFmtId="165" fontId="38" fillId="3" borderId="0" xfId="9" applyNumberFormat="1" applyFont="1" applyFill="1" applyBorder="1" applyProtection="1">
      <protection hidden="1"/>
    </xf>
    <xf numFmtId="174" fontId="38" fillId="3" borderId="0" xfId="7" applyNumberFormat="1" applyFont="1" applyFill="1" applyBorder="1" applyAlignment="1" applyProtection="1">
      <alignment horizontal="center" vertical="center"/>
      <protection hidden="1"/>
    </xf>
    <xf numFmtId="0" fontId="14" fillId="3" borderId="0" xfId="2" applyFont="1" applyFill="1" applyAlignment="1" applyProtection="1">
      <alignment vertical="center"/>
      <protection hidden="1"/>
    </xf>
    <xf numFmtId="42" fontId="14" fillId="3" borderId="0" xfId="9" applyNumberFormat="1" applyFont="1" applyFill="1" applyBorder="1" applyAlignment="1" applyProtection="1">
      <alignment horizontal="center"/>
      <protection hidden="1"/>
    </xf>
    <xf numFmtId="165" fontId="38" fillId="3" borderId="0" xfId="9" applyNumberFormat="1" applyFont="1" applyFill="1" applyBorder="1" applyAlignment="1" applyProtection="1">
      <alignment horizontal="right" vertical="center"/>
      <protection hidden="1"/>
    </xf>
    <xf numFmtId="0" fontId="38" fillId="3" borderId="0" xfId="2" applyFont="1" applyFill="1" applyAlignment="1" applyProtection="1">
      <alignment horizontal="center" vertical="center"/>
      <protection hidden="1"/>
    </xf>
    <xf numFmtId="173" fontId="38" fillId="3" borderId="0" xfId="2" applyNumberFormat="1" applyFont="1" applyFill="1" applyAlignment="1" applyProtection="1">
      <alignment horizontal="center"/>
      <protection hidden="1"/>
    </xf>
    <xf numFmtId="175" fontId="38" fillId="3" borderId="0" xfId="2" applyNumberFormat="1" applyFont="1" applyFill="1" applyAlignment="1" applyProtection="1">
      <alignment horizontal="center" vertical="center"/>
      <protection hidden="1"/>
    </xf>
    <xf numFmtId="0" fontId="38" fillId="3" borderId="0" xfId="2" applyFont="1" applyFill="1" applyAlignment="1" applyProtection="1">
      <alignment horizontal="center"/>
      <protection hidden="1"/>
    </xf>
    <xf numFmtId="0" fontId="38" fillId="3" borderId="0" xfId="8" applyNumberFormat="1" applyFont="1" applyFill="1" applyBorder="1" applyAlignment="1" applyProtection="1">
      <alignment horizontal="center"/>
      <protection hidden="1"/>
    </xf>
    <xf numFmtId="42" fontId="2" fillId="3" borderId="0" xfId="7" applyNumberFormat="1" applyFont="1" applyFill="1" applyBorder="1" applyProtection="1">
      <protection hidden="1"/>
    </xf>
    <xf numFmtId="44" fontId="2" fillId="3" borderId="0" xfId="9" applyFill="1" applyBorder="1" applyProtection="1">
      <protection hidden="1"/>
    </xf>
    <xf numFmtId="42" fontId="2" fillId="3" borderId="0" xfId="9" applyNumberFormat="1" applyFill="1" applyBorder="1" applyAlignment="1" applyProtection="1">
      <alignment horizontal="center"/>
      <protection hidden="1"/>
    </xf>
    <xf numFmtId="3" fontId="38" fillId="3" borderId="0" xfId="2" applyNumberFormat="1" applyFont="1" applyFill="1" applyProtection="1">
      <protection hidden="1"/>
    </xf>
    <xf numFmtId="175" fontId="38" fillId="3" borderId="0" xfId="2" applyNumberFormat="1" applyFont="1" applyFill="1" applyProtection="1">
      <protection hidden="1"/>
    </xf>
    <xf numFmtId="173" fontId="0" fillId="3" borderId="0" xfId="7" applyNumberFormat="1" applyFont="1" applyFill="1" applyBorder="1" applyAlignment="1" applyProtection="1">
      <alignment horizontal="center"/>
      <protection hidden="1"/>
    </xf>
    <xf numFmtId="0" fontId="38" fillId="3" borderId="0" xfId="8" applyNumberFormat="1" applyFont="1" applyFill="1" applyBorder="1" applyProtection="1">
      <protection hidden="1"/>
    </xf>
    <xf numFmtId="0" fontId="38" fillId="3" borderId="0" xfId="7" applyFont="1" applyFill="1" applyBorder="1" applyAlignment="1" applyProtection="1">
      <alignment horizontal="center"/>
      <protection hidden="1"/>
    </xf>
    <xf numFmtId="49" fontId="38" fillId="3" borderId="0" xfId="2" applyNumberFormat="1" applyFont="1" applyFill="1" applyAlignment="1" applyProtection="1">
      <alignment horizontal="center"/>
      <protection hidden="1"/>
    </xf>
    <xf numFmtId="174" fontId="38" fillId="3" borderId="0" xfId="7" applyNumberFormat="1" applyFont="1" applyFill="1" applyBorder="1" applyAlignment="1" applyProtection="1">
      <alignment horizontal="center"/>
      <protection hidden="1"/>
    </xf>
    <xf numFmtId="175" fontId="38" fillId="3" borderId="0" xfId="2" applyNumberFormat="1" applyFont="1" applyFill="1" applyAlignment="1" applyProtection="1">
      <alignment horizontal="center"/>
      <protection hidden="1"/>
    </xf>
    <xf numFmtId="0" fontId="34" fillId="3" borderId="0" xfId="3" applyFont="1" applyFill="1" applyAlignment="1" applyProtection="1">
      <alignment horizontal="center" vertical="center"/>
      <protection hidden="1"/>
    </xf>
    <xf numFmtId="0" fontId="4" fillId="9" borderId="30" xfId="3" applyFont="1" applyFill="1" applyBorder="1" applyAlignment="1" applyProtection="1">
      <alignment vertical="center" wrapText="1"/>
      <protection hidden="1"/>
    </xf>
    <xf numFmtId="0" fontId="14" fillId="9" borderId="41" xfId="3" applyFont="1" applyFill="1" applyBorder="1" applyAlignment="1" applyProtection="1">
      <alignment horizontal="center" vertical="center" wrapText="1"/>
      <protection hidden="1"/>
    </xf>
    <xf numFmtId="165" fontId="30" fillId="3" borderId="36" xfId="3" applyNumberFormat="1" applyFont="1" applyFill="1" applyBorder="1" applyAlignment="1" applyProtection="1">
      <alignment horizontal="center" vertical="center"/>
      <protection hidden="1"/>
    </xf>
    <xf numFmtId="0" fontId="4" fillId="9" borderId="79" xfId="3" applyFont="1" applyFill="1" applyBorder="1" applyAlignment="1" applyProtection="1">
      <alignment vertical="center" wrapText="1"/>
      <protection hidden="1"/>
    </xf>
    <xf numFmtId="0" fontId="14" fillId="9" borderId="43" xfId="3" applyFont="1" applyFill="1" applyBorder="1" applyAlignment="1" applyProtection="1">
      <alignment horizontal="center" vertical="center" wrapText="1"/>
      <protection hidden="1"/>
    </xf>
    <xf numFmtId="165" fontId="30" fillId="3" borderId="42" xfId="3" applyNumberFormat="1" applyFont="1" applyFill="1" applyBorder="1" applyAlignment="1" applyProtection="1">
      <alignment horizontal="center" vertical="center"/>
      <protection hidden="1"/>
    </xf>
    <xf numFmtId="0" fontId="4" fillId="7" borderId="19" xfId="3" applyFont="1" applyFill="1" applyBorder="1" applyAlignment="1" applyProtection="1">
      <alignment horizontal="center" vertical="center" wrapText="1"/>
      <protection hidden="1"/>
    </xf>
    <xf numFmtId="0" fontId="14" fillId="7" borderId="20" xfId="3" applyFont="1" applyFill="1" applyBorder="1" applyAlignment="1" applyProtection="1">
      <alignment horizontal="center" vertical="center" wrapText="1"/>
      <protection hidden="1"/>
    </xf>
    <xf numFmtId="165" fontId="30" fillId="7" borderId="31" xfId="3" applyNumberFormat="1" applyFont="1" applyFill="1" applyBorder="1" applyAlignment="1" applyProtection="1">
      <alignment horizontal="center" vertical="center"/>
      <protection hidden="1"/>
    </xf>
    <xf numFmtId="165" fontId="30" fillId="7" borderId="32" xfId="3" applyNumberFormat="1" applyFont="1" applyFill="1" applyBorder="1" applyAlignment="1" applyProtection="1">
      <alignment horizontal="center" vertical="center"/>
      <protection hidden="1"/>
    </xf>
    <xf numFmtId="165" fontId="30" fillId="7" borderId="80" xfId="3" applyNumberFormat="1" applyFont="1" applyFill="1" applyBorder="1" applyAlignment="1" applyProtection="1">
      <alignment horizontal="center" vertical="center"/>
      <protection hidden="1"/>
    </xf>
    <xf numFmtId="165" fontId="30" fillId="7" borderId="21" xfId="3" applyNumberFormat="1" applyFont="1" applyFill="1" applyBorder="1" applyProtection="1">
      <protection hidden="1"/>
    </xf>
    <xf numFmtId="165" fontId="30" fillId="7" borderId="22" xfId="3" applyNumberFormat="1" applyFont="1" applyFill="1" applyBorder="1" applyProtection="1">
      <protection hidden="1"/>
    </xf>
    <xf numFmtId="0" fontId="14" fillId="9" borderId="18" xfId="3" applyFont="1" applyFill="1" applyBorder="1" applyAlignment="1" applyProtection="1">
      <alignment horizontal="center" vertical="center" wrapText="1"/>
      <protection hidden="1"/>
    </xf>
    <xf numFmtId="165" fontId="14" fillId="3" borderId="0" xfId="3" applyNumberFormat="1" applyFont="1" applyFill="1" applyAlignment="1" applyProtection="1">
      <alignment horizontal="right" vertical="center"/>
      <protection hidden="1"/>
    </xf>
    <xf numFmtId="0" fontId="2" fillId="3" borderId="0" xfId="2" applyFill="1" applyProtection="1">
      <protection hidden="1"/>
    </xf>
    <xf numFmtId="0" fontId="28" fillId="6" borderId="22" xfId="2" applyFont="1" applyFill="1" applyBorder="1" applyAlignment="1" applyProtection="1">
      <alignment horizontal="center" vertical="center" wrapText="1"/>
      <protection hidden="1"/>
    </xf>
    <xf numFmtId="9" fontId="10" fillId="3" borderId="0" xfId="2" applyNumberFormat="1" applyFont="1" applyFill="1" applyProtection="1">
      <protection hidden="1"/>
    </xf>
    <xf numFmtId="0" fontId="26" fillId="3" borderId="0" xfId="2" applyFont="1" applyFill="1" applyProtection="1">
      <protection hidden="1"/>
    </xf>
    <xf numFmtId="17" fontId="28" fillId="6" borderId="9" xfId="2" applyNumberFormat="1" applyFont="1" applyFill="1" applyBorder="1" applyAlignment="1" applyProtection="1">
      <alignment horizontal="center" vertical="center"/>
      <protection hidden="1"/>
    </xf>
    <xf numFmtId="0" fontId="36" fillId="6" borderId="22" xfId="2" applyFont="1" applyFill="1" applyBorder="1" applyAlignment="1" applyProtection="1">
      <alignment horizontal="center" vertical="center" wrapText="1"/>
      <protection hidden="1"/>
    </xf>
    <xf numFmtId="9" fontId="26" fillId="0" borderId="74" xfId="3" applyNumberFormat="1" applyFont="1" applyBorder="1" applyAlignment="1" applyProtection="1">
      <alignment horizontal="center"/>
      <protection hidden="1"/>
    </xf>
    <xf numFmtId="9" fontId="26" fillId="0" borderId="30" xfId="3" applyNumberFormat="1" applyFont="1" applyBorder="1" applyAlignment="1" applyProtection="1">
      <alignment horizontal="center"/>
      <protection hidden="1"/>
    </xf>
    <xf numFmtId="9" fontId="26" fillId="0" borderId="50" xfId="3" applyNumberFormat="1" applyFont="1" applyBorder="1" applyAlignment="1" applyProtection="1">
      <alignment horizontal="center"/>
      <protection hidden="1"/>
    </xf>
    <xf numFmtId="9" fontId="41" fillId="0" borderId="24" xfId="3" applyNumberFormat="1" applyFont="1" applyBorder="1" applyAlignment="1" applyProtection="1">
      <alignment horizontal="center" wrapText="1"/>
      <protection hidden="1"/>
    </xf>
    <xf numFmtId="0" fontId="28" fillId="6" borderId="18" xfId="2" applyFont="1" applyFill="1" applyBorder="1" applyAlignment="1" applyProtection="1">
      <alignment horizontal="center" vertical="center"/>
      <protection hidden="1"/>
    </xf>
    <xf numFmtId="17" fontId="28" fillId="6" borderId="22" xfId="2" applyNumberFormat="1" applyFont="1" applyFill="1" applyBorder="1" applyAlignment="1" applyProtection="1">
      <alignment horizontal="center" vertical="center"/>
      <protection hidden="1"/>
    </xf>
    <xf numFmtId="0" fontId="28" fillId="6" borderId="22" xfId="2" applyFont="1" applyFill="1" applyBorder="1" applyAlignment="1" applyProtection="1">
      <alignment horizontal="center" vertical="center"/>
      <protection hidden="1"/>
    </xf>
    <xf numFmtId="164" fontId="26" fillId="3" borderId="36" xfId="2" applyNumberFormat="1" applyFont="1" applyFill="1" applyBorder="1" applyAlignment="1" applyProtection="1">
      <alignment horizontal="center"/>
      <protection hidden="1"/>
    </xf>
    <xf numFmtId="9" fontId="26" fillId="0" borderId="53" xfId="3" applyNumberFormat="1" applyFont="1" applyBorder="1" applyAlignment="1" applyProtection="1">
      <alignment horizontal="center"/>
      <protection hidden="1"/>
    </xf>
    <xf numFmtId="9" fontId="26" fillId="0" borderId="58" xfId="3" applyNumberFormat="1" applyFont="1" applyBorder="1" applyAlignment="1" applyProtection="1">
      <alignment horizontal="center"/>
      <protection hidden="1"/>
    </xf>
    <xf numFmtId="9" fontId="26" fillId="0" borderId="61" xfId="3" applyNumberFormat="1" applyFont="1" applyBorder="1" applyAlignment="1" applyProtection="1">
      <alignment horizontal="center"/>
      <protection hidden="1"/>
    </xf>
    <xf numFmtId="0" fontId="9" fillId="6" borderId="2" xfId="2" applyFont="1" applyFill="1" applyBorder="1" applyAlignment="1" applyProtection="1">
      <alignment vertical="center" wrapText="1"/>
      <protection hidden="1"/>
    </xf>
    <xf numFmtId="0" fontId="42" fillId="6" borderId="22" xfId="2" applyFont="1" applyFill="1" applyBorder="1" applyAlignment="1" applyProtection="1">
      <alignment horizontal="center" wrapText="1"/>
      <protection hidden="1"/>
    </xf>
    <xf numFmtId="169" fontId="28" fillId="6" borderId="34" xfId="2" applyNumberFormat="1" applyFont="1" applyFill="1" applyBorder="1" applyAlignment="1" applyProtection="1">
      <alignment horizontal="center" vertical="center"/>
      <protection hidden="1"/>
    </xf>
    <xf numFmtId="0" fontId="26" fillId="3" borderId="0" xfId="2" applyFont="1" applyFill="1" applyAlignment="1" applyProtection="1">
      <alignment vertical="center"/>
      <protection hidden="1"/>
    </xf>
    <xf numFmtId="164" fontId="26" fillId="3" borderId="51" xfId="2" applyNumberFormat="1" applyFont="1" applyFill="1" applyBorder="1" applyAlignment="1" applyProtection="1">
      <alignment horizontal="center"/>
      <protection hidden="1"/>
    </xf>
    <xf numFmtId="10" fontId="26" fillId="3" borderId="36" xfId="2" applyNumberFormat="1" applyFont="1" applyFill="1" applyBorder="1" applyAlignment="1" applyProtection="1">
      <alignment horizontal="center"/>
      <protection hidden="1"/>
    </xf>
    <xf numFmtId="164" fontId="26" fillId="3" borderId="46" xfId="2" applyNumberFormat="1" applyFont="1" applyFill="1" applyBorder="1" applyAlignment="1" applyProtection="1">
      <alignment horizontal="center"/>
      <protection hidden="1"/>
    </xf>
    <xf numFmtId="0" fontId="43" fillId="3" borderId="0" xfId="3" applyFont="1" applyFill="1" applyProtection="1">
      <protection hidden="1"/>
    </xf>
    <xf numFmtId="0" fontId="26" fillId="3" borderId="0" xfId="2" applyFont="1" applyFill="1" applyAlignment="1" applyProtection="1">
      <alignment horizontal="left"/>
      <protection hidden="1"/>
    </xf>
    <xf numFmtId="164" fontId="26" fillId="3" borderId="62" xfId="2" applyNumberFormat="1" applyFont="1" applyFill="1" applyBorder="1" applyAlignment="1" applyProtection="1">
      <alignment horizontal="center"/>
      <protection hidden="1"/>
    </xf>
    <xf numFmtId="0" fontId="28" fillId="3" borderId="0" xfId="2" applyFont="1" applyFill="1" applyAlignment="1" applyProtection="1">
      <alignment horizontal="right" vertical="center" wrapText="1"/>
      <protection hidden="1"/>
    </xf>
    <xf numFmtId="3" fontId="9" fillId="3" borderId="0" xfId="2" applyNumberFormat="1" applyFont="1" applyFill="1" applyAlignment="1" applyProtection="1">
      <alignment vertical="center"/>
      <protection hidden="1"/>
    </xf>
    <xf numFmtId="0" fontId="26" fillId="6" borderId="22" xfId="2" applyFont="1" applyFill="1" applyBorder="1" applyProtection="1">
      <protection hidden="1"/>
    </xf>
    <xf numFmtId="0" fontId="26" fillId="6" borderId="23" xfId="2" applyFont="1" applyFill="1" applyBorder="1" applyProtection="1">
      <protection hidden="1"/>
    </xf>
    <xf numFmtId="0" fontId="28" fillId="3" borderId="0" xfId="2" applyFont="1" applyFill="1" applyAlignment="1" applyProtection="1">
      <alignment horizontal="right" vertical="center"/>
      <protection hidden="1"/>
    </xf>
    <xf numFmtId="3" fontId="9" fillId="3" borderId="0" xfId="2" applyNumberFormat="1" applyFont="1" applyFill="1" applyProtection="1">
      <protection hidden="1"/>
    </xf>
    <xf numFmtId="0" fontId="28" fillId="6" borderId="22" xfId="3" applyFont="1" applyFill="1" applyBorder="1" applyAlignment="1" applyProtection="1">
      <alignment horizontal="center" vertical="center"/>
      <protection hidden="1"/>
    </xf>
    <xf numFmtId="165" fontId="26" fillId="3" borderId="0" xfId="2" applyNumberFormat="1" applyFont="1" applyFill="1" applyProtection="1">
      <protection hidden="1"/>
    </xf>
    <xf numFmtId="0" fontId="44" fillId="3" borderId="5" xfId="2" applyFont="1" applyFill="1" applyBorder="1" applyAlignment="1" applyProtection="1">
      <alignment horizontal="left"/>
      <protection hidden="1"/>
    </xf>
    <xf numFmtId="0" fontId="44" fillId="3" borderId="0" xfId="2" applyFont="1" applyFill="1" applyAlignment="1" applyProtection="1">
      <alignment horizontal="left"/>
      <protection hidden="1"/>
    </xf>
    <xf numFmtId="0" fontId="9" fillId="3" borderId="0" xfId="2" applyFont="1" applyFill="1" applyAlignment="1" applyProtection="1">
      <alignment horizontal="right"/>
      <protection hidden="1"/>
    </xf>
    <xf numFmtId="0" fontId="8" fillId="6" borderId="22" xfId="2" applyFont="1" applyFill="1" applyBorder="1" applyAlignment="1" applyProtection="1">
      <alignment horizontal="center" vertical="center" wrapText="1"/>
      <protection hidden="1"/>
    </xf>
    <xf numFmtId="0" fontId="28" fillId="6" borderId="2" xfId="2" applyFont="1" applyFill="1" applyBorder="1" applyAlignment="1" applyProtection="1">
      <alignment horizontal="left" wrapText="1"/>
      <protection hidden="1"/>
    </xf>
    <xf numFmtId="3" fontId="47" fillId="3" borderId="22" xfId="2" applyNumberFormat="1" applyFont="1" applyFill="1" applyBorder="1" applyAlignment="1" applyProtection="1">
      <alignment horizontal="center"/>
      <protection hidden="1"/>
    </xf>
    <xf numFmtId="0" fontId="9" fillId="6" borderId="23" xfId="2" applyFont="1" applyFill="1" applyBorder="1" applyAlignment="1" applyProtection="1">
      <alignment horizontal="left"/>
      <protection hidden="1"/>
    </xf>
    <xf numFmtId="3" fontId="47" fillId="6" borderId="23" xfId="2" applyNumberFormat="1" applyFont="1" applyFill="1" applyBorder="1" applyProtection="1">
      <protection hidden="1"/>
    </xf>
    <xf numFmtId="0" fontId="26" fillId="6" borderId="23" xfId="2" applyFont="1" applyFill="1" applyBorder="1" applyAlignment="1" applyProtection="1">
      <alignment horizontal="left"/>
      <protection hidden="1"/>
    </xf>
    <xf numFmtId="3" fontId="47" fillId="3" borderId="23" xfId="2" applyNumberFormat="1" applyFont="1" applyFill="1" applyBorder="1" applyAlignment="1" applyProtection="1">
      <alignment horizontal="center"/>
      <protection hidden="1"/>
    </xf>
    <xf numFmtId="0" fontId="9" fillId="6" borderId="24" xfId="2" applyFont="1" applyFill="1" applyBorder="1" applyAlignment="1" applyProtection="1">
      <alignment horizontal="left"/>
      <protection hidden="1"/>
    </xf>
    <xf numFmtId="0" fontId="48" fillId="3" borderId="18" xfId="2" applyFont="1" applyFill="1" applyBorder="1" applyAlignment="1" applyProtection="1">
      <alignment horizontal="center" vertical="center" wrapText="1"/>
      <protection hidden="1"/>
    </xf>
    <xf numFmtId="3" fontId="28" fillId="6" borderId="21" xfId="2" applyNumberFormat="1" applyFont="1" applyFill="1" applyBorder="1" applyAlignment="1" applyProtection="1">
      <alignment horizontal="center" vertical="center"/>
      <protection hidden="1"/>
    </xf>
    <xf numFmtId="3" fontId="47" fillId="3" borderId="74" xfId="2" applyNumberFormat="1" applyFont="1" applyFill="1" applyBorder="1" applyAlignment="1" applyProtection="1">
      <alignment horizontal="center" vertical="center"/>
      <protection hidden="1"/>
    </xf>
    <xf numFmtId="3" fontId="26" fillId="6" borderId="20" xfId="2" applyNumberFormat="1" applyFont="1" applyFill="1" applyBorder="1" applyProtection="1">
      <protection hidden="1"/>
    </xf>
    <xf numFmtId="3" fontId="26" fillId="6" borderId="4" xfId="2" applyNumberFormat="1" applyFont="1" applyFill="1" applyBorder="1" applyProtection="1">
      <protection hidden="1"/>
    </xf>
    <xf numFmtId="3" fontId="47" fillId="3" borderId="74" xfId="2" applyNumberFormat="1" applyFont="1" applyFill="1" applyBorder="1" applyAlignment="1" applyProtection="1">
      <alignment horizontal="center"/>
      <protection hidden="1"/>
    </xf>
    <xf numFmtId="0" fontId="26" fillId="6" borderId="5" xfId="2" applyFont="1" applyFill="1" applyBorder="1" applyProtection="1">
      <protection hidden="1"/>
    </xf>
    <xf numFmtId="0" fontId="26" fillId="3" borderId="0" xfId="2" quotePrefix="1" applyFont="1" applyFill="1" applyProtection="1">
      <protection hidden="1"/>
    </xf>
    <xf numFmtId="41" fontId="26" fillId="3" borderId="36" xfId="9" applyNumberFormat="1" applyFont="1" applyFill="1" applyBorder="1" applyProtection="1">
      <protection hidden="1"/>
    </xf>
    <xf numFmtId="41" fontId="26" fillId="3" borderId="49" xfId="9" applyNumberFormat="1" applyFont="1" applyFill="1" applyBorder="1" applyProtection="1">
      <protection hidden="1"/>
    </xf>
    <xf numFmtId="0" fontId="5" fillId="3" borderId="0" xfId="2" applyFont="1" applyFill="1" applyAlignment="1" applyProtection="1">
      <alignment vertical="center"/>
      <protection hidden="1"/>
    </xf>
    <xf numFmtId="0" fontId="28" fillId="6" borderId="21" xfId="2" applyFont="1" applyFill="1" applyBorder="1" applyAlignment="1" applyProtection="1">
      <alignment vertical="center"/>
      <protection hidden="1"/>
    </xf>
    <xf numFmtId="3" fontId="47" fillId="6" borderId="74" xfId="2" applyNumberFormat="1" applyFont="1" applyFill="1" applyBorder="1" applyProtection="1">
      <protection hidden="1"/>
    </xf>
    <xf numFmtId="9" fontId="26" fillId="3" borderId="28" xfId="2" applyNumberFormat="1" applyFont="1" applyFill="1" applyBorder="1" applyAlignment="1" applyProtection="1">
      <alignment horizontal="left" vertical="center"/>
      <protection hidden="1"/>
    </xf>
    <xf numFmtId="3" fontId="47" fillId="19" borderId="27" xfId="2" applyNumberFormat="1" applyFont="1" applyFill="1" applyBorder="1" applyAlignment="1" applyProtection="1">
      <alignment horizontal="center"/>
      <protection hidden="1"/>
    </xf>
    <xf numFmtId="3" fontId="26" fillId="3" borderId="36" xfId="2" applyNumberFormat="1" applyFont="1" applyFill="1" applyBorder="1" applyAlignment="1" applyProtection="1">
      <alignment horizontal="center"/>
      <protection hidden="1"/>
    </xf>
    <xf numFmtId="165" fontId="2" fillId="3" borderId="36" xfId="2" applyNumberFormat="1" applyFill="1" applyBorder="1" applyAlignment="1" applyProtection="1">
      <alignment horizontal="center" vertical="center"/>
      <protection hidden="1"/>
    </xf>
    <xf numFmtId="9" fontId="26" fillId="3" borderId="30" xfId="2" applyNumberFormat="1" applyFont="1" applyFill="1" applyBorder="1" applyAlignment="1" applyProtection="1">
      <alignment horizontal="left" vertical="center"/>
      <protection hidden="1"/>
    </xf>
    <xf numFmtId="9" fontId="26" fillId="3" borderId="50" xfId="2" applyNumberFormat="1" applyFont="1" applyFill="1" applyBorder="1" applyAlignment="1" applyProtection="1">
      <alignment horizontal="left" vertical="center"/>
      <protection hidden="1"/>
    </xf>
    <xf numFmtId="9" fontId="2" fillId="3" borderId="0" xfId="2" applyNumberFormat="1" applyFill="1" applyAlignment="1" applyProtection="1">
      <alignment horizontal="center" vertical="center"/>
      <protection hidden="1"/>
    </xf>
    <xf numFmtId="0" fontId="6" fillId="6" borderId="18" xfId="2" applyFont="1" applyFill="1" applyBorder="1" applyAlignment="1" applyProtection="1">
      <alignment horizontal="center" vertical="center"/>
      <protection hidden="1"/>
    </xf>
    <xf numFmtId="1" fontId="26" fillId="16" borderId="41" xfId="2" applyNumberFormat="1" applyFont="1" applyFill="1" applyBorder="1" applyProtection="1">
      <protection hidden="1"/>
    </xf>
    <xf numFmtId="165" fontId="26" fillId="3" borderId="35" xfId="2" applyNumberFormat="1" applyFont="1" applyFill="1" applyBorder="1" applyProtection="1">
      <protection hidden="1"/>
    </xf>
    <xf numFmtId="165" fontId="26" fillId="3" borderId="36" xfId="2" applyNumberFormat="1" applyFont="1" applyFill="1" applyBorder="1" applyProtection="1">
      <protection hidden="1"/>
    </xf>
    <xf numFmtId="1" fontId="26" fillId="16" borderId="36" xfId="2" applyNumberFormat="1" applyFont="1" applyFill="1" applyBorder="1" applyProtection="1">
      <protection hidden="1"/>
    </xf>
    <xf numFmtId="0" fontId="9" fillId="6" borderId="50" xfId="2" applyFont="1" applyFill="1" applyBorder="1" applyAlignment="1" applyProtection="1">
      <alignment horizontal="center" vertical="center" textRotation="90" wrapText="1"/>
      <protection hidden="1"/>
    </xf>
    <xf numFmtId="1" fontId="26" fillId="16" borderId="43" xfId="2" applyNumberFormat="1" applyFont="1" applyFill="1" applyBorder="1" applyProtection="1">
      <protection hidden="1"/>
    </xf>
    <xf numFmtId="1" fontId="26" fillId="16" borderId="42" xfId="2" applyNumberFormat="1" applyFont="1" applyFill="1" applyBorder="1" applyProtection="1">
      <protection hidden="1"/>
    </xf>
    <xf numFmtId="3" fontId="26" fillId="6" borderId="23" xfId="2" applyNumberFormat="1" applyFont="1" applyFill="1" applyBorder="1" applyProtection="1">
      <protection hidden="1"/>
    </xf>
    <xf numFmtId="0" fontId="26" fillId="6" borderId="18" xfId="2" applyFont="1" applyFill="1" applyBorder="1" applyProtection="1">
      <protection hidden="1"/>
    </xf>
    <xf numFmtId="3" fontId="26" fillId="6" borderId="43" xfId="2" applyNumberFormat="1" applyFont="1" applyFill="1" applyBorder="1" applyProtection="1">
      <protection hidden="1"/>
    </xf>
    <xf numFmtId="3" fontId="26" fillId="6" borderId="42" xfId="2" applyNumberFormat="1" applyFont="1" applyFill="1" applyBorder="1" applyProtection="1">
      <protection hidden="1"/>
    </xf>
    <xf numFmtId="1" fontId="26" fillId="6" borderId="23" xfId="2" applyNumberFormat="1" applyFont="1" applyFill="1" applyBorder="1" applyProtection="1">
      <protection hidden="1"/>
    </xf>
    <xf numFmtId="1" fontId="26" fillId="6" borderId="24" xfId="2" applyNumberFormat="1" applyFont="1" applyFill="1" applyBorder="1" applyProtection="1">
      <protection hidden="1"/>
    </xf>
    <xf numFmtId="0" fontId="47" fillId="3" borderId="0" xfId="2" applyFont="1" applyFill="1" applyAlignment="1" applyProtection="1">
      <alignment horizontal="center"/>
      <protection hidden="1"/>
    </xf>
    <xf numFmtId="1" fontId="26" fillId="3" borderId="0" xfId="2" applyNumberFormat="1" applyFont="1" applyFill="1" applyProtection="1">
      <protection hidden="1"/>
    </xf>
    <xf numFmtId="3" fontId="26" fillId="3" borderId="36" xfId="2" applyNumberFormat="1" applyFont="1" applyFill="1" applyBorder="1" applyProtection="1">
      <protection hidden="1"/>
    </xf>
    <xf numFmtId="0" fontId="26" fillId="3" borderId="36" xfId="2" applyFont="1" applyFill="1" applyBorder="1" applyProtection="1">
      <protection hidden="1"/>
    </xf>
    <xf numFmtId="0" fontId="4" fillId="3" borderId="0" xfId="2" applyFont="1" applyFill="1" applyAlignment="1" applyProtection="1">
      <alignment horizontal="left"/>
      <protection hidden="1"/>
    </xf>
    <xf numFmtId="9" fontId="2" fillId="3" borderId="0" xfId="2" applyNumberFormat="1" applyFill="1" applyProtection="1">
      <protection hidden="1"/>
    </xf>
    <xf numFmtId="0" fontId="2" fillId="3" borderId="3" xfId="2" applyFill="1" applyBorder="1" applyProtection="1">
      <protection hidden="1"/>
    </xf>
    <xf numFmtId="3" fontId="26" fillId="3" borderId="6" xfId="2" applyNumberFormat="1" applyFont="1" applyFill="1" applyBorder="1" applyProtection="1">
      <protection hidden="1"/>
    </xf>
    <xf numFmtId="0" fontId="26" fillId="3" borderId="5" xfId="2" applyFont="1" applyFill="1" applyBorder="1" applyProtection="1">
      <protection hidden="1"/>
    </xf>
    <xf numFmtId="0" fontId="26" fillId="3" borderId="0" xfId="2" applyFont="1" applyFill="1" applyAlignment="1" applyProtection="1">
      <alignment horizontal="right"/>
      <protection hidden="1"/>
    </xf>
    <xf numFmtId="0" fontId="9" fillId="3" borderId="5" xfId="2" applyFont="1" applyFill="1" applyBorder="1" applyAlignment="1" applyProtection="1">
      <alignment horizontal="right"/>
      <protection hidden="1"/>
    </xf>
    <xf numFmtId="3" fontId="26" fillId="3" borderId="3" xfId="2" applyNumberFormat="1" applyFont="1" applyFill="1" applyBorder="1" applyProtection="1">
      <protection hidden="1"/>
    </xf>
    <xf numFmtId="3" fontId="26" fillId="3" borderId="4" xfId="2" applyNumberFormat="1" applyFont="1" applyFill="1" applyBorder="1" applyProtection="1">
      <protection hidden="1"/>
    </xf>
    <xf numFmtId="0" fontId="26" fillId="3" borderId="6" xfId="2" applyFont="1" applyFill="1" applyBorder="1" applyProtection="1">
      <protection hidden="1"/>
    </xf>
    <xf numFmtId="0" fontId="26" fillId="3" borderId="7" xfId="2" applyFont="1" applyFill="1" applyBorder="1" applyProtection="1">
      <protection hidden="1"/>
    </xf>
    <xf numFmtId="0" fontId="26" fillId="3" borderId="8" xfId="2" applyFont="1" applyFill="1" applyBorder="1" applyProtection="1">
      <protection hidden="1"/>
    </xf>
    <xf numFmtId="0" fontId="26" fillId="3" borderId="9" xfId="2" applyFont="1" applyFill="1" applyBorder="1" applyProtection="1">
      <protection hidden="1"/>
    </xf>
    <xf numFmtId="0" fontId="51" fillId="3" borderId="0" xfId="3" applyFont="1" applyFill="1"/>
    <xf numFmtId="0" fontId="52" fillId="3" borderId="0" xfId="3" applyFont="1" applyFill="1" applyAlignment="1" applyProtection="1">
      <alignment horizontal="center"/>
      <protection hidden="1"/>
    </xf>
    <xf numFmtId="165" fontId="7" fillId="3" borderId="0" xfId="3" applyNumberFormat="1" applyFill="1" applyAlignment="1" applyProtection="1">
      <alignment vertical="center"/>
      <protection hidden="1"/>
    </xf>
    <xf numFmtId="0" fontId="4" fillId="3" borderId="0" xfId="3" applyFont="1" applyFill="1" applyProtection="1">
      <protection hidden="1"/>
    </xf>
    <xf numFmtId="0" fontId="53" fillId="3" borderId="0" xfId="3" applyFont="1" applyFill="1" applyAlignment="1" applyProtection="1">
      <alignment horizontal="center"/>
      <protection hidden="1"/>
    </xf>
    <xf numFmtId="0" fontId="34" fillId="3" borderId="0" xfId="3" applyFont="1" applyFill="1" applyAlignment="1" applyProtection="1">
      <alignment horizontal="center"/>
      <protection hidden="1"/>
    </xf>
    <xf numFmtId="0" fontId="9" fillId="3" borderId="7" xfId="3" applyFont="1" applyFill="1" applyBorder="1" applyAlignment="1" applyProtection="1">
      <alignment horizontal="right" vertical="center"/>
      <protection hidden="1"/>
    </xf>
    <xf numFmtId="164" fontId="14" fillId="3" borderId="8" xfId="3" applyNumberFormat="1" applyFont="1" applyFill="1" applyBorder="1" applyAlignment="1" applyProtection="1">
      <alignment horizontal="center" vertical="center"/>
      <protection hidden="1"/>
    </xf>
    <xf numFmtId="164" fontId="14" fillId="3" borderId="9" xfId="3" applyNumberFormat="1" applyFont="1" applyFill="1" applyBorder="1" applyAlignment="1" applyProtection="1">
      <alignment horizontal="center" vertical="center"/>
      <protection hidden="1"/>
    </xf>
    <xf numFmtId="0" fontId="7" fillId="3" borderId="6" xfId="3" applyFill="1" applyBorder="1" applyAlignment="1" applyProtection="1">
      <alignment vertical="center"/>
      <protection hidden="1"/>
    </xf>
    <xf numFmtId="0" fontId="54" fillId="3" borderId="0" xfId="3" applyFont="1" applyFill="1" applyAlignment="1" applyProtection="1">
      <alignment horizontal="center"/>
      <protection hidden="1"/>
    </xf>
    <xf numFmtId="9" fontId="7" fillId="3" borderId="0" xfId="3" applyNumberFormat="1" applyFill="1" applyProtection="1">
      <protection hidden="1"/>
    </xf>
    <xf numFmtId="0" fontId="4" fillId="3" borderId="0" xfId="3" applyFont="1" applyFill="1" applyAlignment="1" applyProtection="1">
      <alignment horizontal="center" vertical="center"/>
      <protection hidden="1"/>
    </xf>
    <xf numFmtId="0" fontId="21" fillId="3" borderId="6" xfId="3" applyFont="1" applyFill="1" applyBorder="1" applyAlignment="1" applyProtection="1">
      <alignment horizontal="center" vertical="center" wrapText="1"/>
      <protection hidden="1"/>
    </xf>
    <xf numFmtId="0" fontId="7" fillId="3" borderId="9" xfId="3" applyFill="1" applyBorder="1" applyProtection="1">
      <protection hidden="1"/>
    </xf>
    <xf numFmtId="165" fontId="23" fillId="3" borderId="0" xfId="9" applyNumberFormat="1" applyFont="1" applyFill="1" applyBorder="1" applyAlignment="1" applyProtection="1">
      <alignment vertical="center" wrapText="1"/>
      <protection hidden="1"/>
    </xf>
    <xf numFmtId="0" fontId="4" fillId="3" borderId="0" xfId="3" applyFont="1" applyFill="1" applyAlignment="1" applyProtection="1">
      <alignment vertical="center"/>
      <protection hidden="1"/>
    </xf>
    <xf numFmtId="9" fontId="9" fillId="16" borderId="18" xfId="3" applyNumberFormat="1" applyFont="1" applyFill="1" applyBorder="1" applyAlignment="1" applyProtection="1">
      <alignment horizontal="center" vertical="center"/>
      <protection hidden="1"/>
    </xf>
    <xf numFmtId="0" fontId="52" fillId="3" borderId="0" xfId="3" applyFont="1" applyFill="1" applyAlignment="1" applyProtection="1">
      <alignment horizontal="center" vertical="center"/>
      <protection hidden="1"/>
    </xf>
    <xf numFmtId="0" fontId="8" fillId="21" borderId="89" xfId="3" applyFont="1" applyFill="1" applyBorder="1" applyAlignment="1" applyProtection="1">
      <alignment horizontal="center" vertical="center" wrapText="1"/>
      <protection hidden="1"/>
    </xf>
    <xf numFmtId="0" fontId="28" fillId="21" borderId="48" xfId="3" applyFont="1" applyFill="1" applyBorder="1" applyAlignment="1" applyProtection="1">
      <alignment horizontal="center" vertical="center" wrapText="1"/>
      <protection hidden="1"/>
    </xf>
    <xf numFmtId="165" fontId="7" fillId="3" borderId="0" xfId="3" applyNumberFormat="1" applyFill="1" applyProtection="1">
      <protection hidden="1"/>
    </xf>
    <xf numFmtId="9" fontId="28" fillId="21" borderId="18" xfId="3" applyNumberFormat="1" applyFont="1" applyFill="1" applyBorder="1" applyAlignment="1" applyProtection="1">
      <alignment horizontal="center"/>
      <protection hidden="1"/>
    </xf>
    <xf numFmtId="17" fontId="30" fillId="3" borderId="18" xfId="3" applyNumberFormat="1" applyFont="1" applyFill="1" applyBorder="1"/>
    <xf numFmtId="169" fontId="7" fillId="3" borderId="18" xfId="3" applyNumberFormat="1" applyFill="1" applyBorder="1" applyAlignment="1">
      <alignment horizontal="center"/>
    </xf>
    <xf numFmtId="169" fontId="2" fillId="3" borderId="18" xfId="3" applyNumberFormat="1" applyFont="1" applyFill="1" applyBorder="1" applyAlignment="1">
      <alignment horizontal="center"/>
    </xf>
    <xf numFmtId="49" fontId="2" fillId="6" borderId="0" xfId="3" applyNumberFormat="1" applyFont="1" applyFill="1"/>
    <xf numFmtId="0" fontId="7" fillId="3" borderId="2" xfId="3" applyFill="1" applyBorder="1"/>
    <xf numFmtId="0" fontId="7" fillId="3" borderId="22" xfId="3" applyFill="1" applyBorder="1"/>
    <xf numFmtId="165" fontId="7" fillId="3" borderId="0" xfId="3" applyNumberFormat="1" applyFill="1"/>
    <xf numFmtId="3" fontId="2" fillId="3" borderId="0" xfId="3" applyNumberFormat="1" applyFont="1" applyFill="1"/>
    <xf numFmtId="17" fontId="7" fillId="3" borderId="0" xfId="3" applyNumberFormat="1" applyFill="1" applyAlignment="1">
      <alignment horizontal="center"/>
    </xf>
    <xf numFmtId="49" fontId="2" fillId="3" borderId="3" xfId="3" applyNumberFormat="1" applyFont="1" applyFill="1" applyBorder="1"/>
    <xf numFmtId="0" fontId="7" fillId="3" borderId="5" xfId="3" applyFill="1" applyBorder="1"/>
    <xf numFmtId="0" fontId="7" fillId="3" borderId="23" xfId="3" applyFill="1" applyBorder="1"/>
    <xf numFmtId="3" fontId="7" fillId="3" borderId="0" xfId="3" applyNumberFormat="1" applyFill="1"/>
    <xf numFmtId="1" fontId="7" fillId="3" borderId="0" xfId="3" applyNumberFormat="1" applyFill="1"/>
    <xf numFmtId="177" fontId="7" fillId="3" borderId="0" xfId="3" applyNumberFormat="1" applyFill="1"/>
    <xf numFmtId="49" fontId="2" fillId="3" borderId="0" xfId="3" applyNumberFormat="1" applyFont="1" applyFill="1"/>
    <xf numFmtId="174" fontId="7" fillId="3" borderId="0" xfId="3" applyNumberFormat="1" applyFill="1"/>
    <xf numFmtId="0" fontId="7" fillId="3" borderId="7" xfId="3" applyFill="1" applyBorder="1"/>
    <xf numFmtId="0" fontId="7" fillId="3" borderId="3" xfId="3" applyFill="1" applyBorder="1"/>
    <xf numFmtId="49" fontId="2" fillId="3" borderId="0" xfId="3" applyNumberFormat="1" applyFont="1" applyFill="1" applyAlignment="1">
      <alignment horizontal="right"/>
    </xf>
    <xf numFmtId="165" fontId="2" fillId="3" borderId="0" xfId="3" applyNumberFormat="1" applyFont="1" applyFill="1"/>
    <xf numFmtId="0" fontId="7" fillId="3" borderId="24" xfId="3" applyFill="1" applyBorder="1"/>
    <xf numFmtId="0" fontId="7" fillId="3" borderId="8" xfId="3" applyFill="1" applyBorder="1"/>
    <xf numFmtId="17" fontId="7" fillId="3" borderId="24" xfId="3" applyNumberFormat="1" applyFill="1" applyBorder="1"/>
    <xf numFmtId="3" fontId="4" fillId="3" borderId="0" xfId="3" applyNumberFormat="1" applyFont="1" applyFill="1" applyAlignment="1">
      <alignment horizontal="center"/>
    </xf>
    <xf numFmtId="165" fontId="7" fillId="3" borderId="20" xfId="3" applyNumberFormat="1" applyFill="1" applyBorder="1"/>
    <xf numFmtId="165" fontId="7" fillId="3" borderId="21" xfId="3" applyNumberFormat="1" applyFill="1" applyBorder="1"/>
    <xf numFmtId="3" fontId="2" fillId="3" borderId="60" xfId="3" quotePrefix="1" applyNumberFormat="1" applyFont="1" applyFill="1" applyBorder="1"/>
    <xf numFmtId="3" fontId="7" fillId="3" borderId="60" xfId="3" applyNumberFormat="1" applyFill="1" applyBorder="1"/>
    <xf numFmtId="0" fontId="2" fillId="3" borderId="0" xfId="3" applyFont="1" applyFill="1" applyAlignment="1">
      <alignment horizontal="right"/>
    </xf>
    <xf numFmtId="14" fontId="7" fillId="3" borderId="0" xfId="3" applyNumberFormat="1" applyFill="1" applyAlignment="1">
      <alignment horizontal="right" vertical="center"/>
    </xf>
    <xf numFmtId="1" fontId="7" fillId="3" borderId="18" xfId="3" applyNumberFormat="1" applyFill="1" applyBorder="1"/>
    <xf numFmtId="17" fontId="56" fillId="3" borderId="0" xfId="3" applyNumberFormat="1" applyFont="1" applyFill="1"/>
    <xf numFmtId="3" fontId="56" fillId="3" borderId="0" xfId="3" applyNumberFormat="1" applyFont="1" applyFill="1"/>
    <xf numFmtId="3" fontId="7" fillId="3" borderId="36" xfId="3" applyNumberFormat="1" applyFill="1" applyBorder="1"/>
    <xf numFmtId="0" fontId="7" fillId="3" borderId="0" xfId="3" applyFill="1" applyAlignment="1">
      <alignment horizontal="right" vertical="center"/>
    </xf>
    <xf numFmtId="3" fontId="7" fillId="3" borderId="45" xfId="3" applyNumberFormat="1" applyFill="1" applyBorder="1"/>
    <xf numFmtId="14" fontId="2" fillId="3" borderId="0" xfId="3" applyNumberFormat="1" applyFont="1" applyFill="1" applyAlignment="1">
      <alignment horizontal="right" vertical="center"/>
    </xf>
    <xf numFmtId="0" fontId="2" fillId="3" borderId="0" xfId="3" applyFont="1" applyFill="1" applyAlignment="1">
      <alignment horizontal="left"/>
    </xf>
    <xf numFmtId="17" fontId="7" fillId="3" borderId="19" xfId="3" applyNumberFormat="1" applyFill="1" applyBorder="1"/>
    <xf numFmtId="165" fontId="4" fillId="3" borderId="20" xfId="3" applyNumberFormat="1" applyFont="1" applyFill="1" applyBorder="1"/>
    <xf numFmtId="165" fontId="4" fillId="3" borderId="21" xfId="3" applyNumberFormat="1" applyFont="1" applyFill="1" applyBorder="1"/>
    <xf numFmtId="0" fontId="49" fillId="3" borderId="0" xfId="10" applyFill="1" applyAlignment="1"/>
    <xf numFmtId="0" fontId="4" fillId="3" borderId="0" xfId="3" applyFont="1" applyFill="1" applyAlignment="1">
      <alignment vertical="center"/>
    </xf>
    <xf numFmtId="3" fontId="4" fillId="3" borderId="93" xfId="3" applyNumberFormat="1" applyFont="1" applyFill="1" applyBorder="1" applyProtection="1">
      <protection locked="0"/>
    </xf>
    <xf numFmtId="3" fontId="4" fillId="3" borderId="94" xfId="3" applyNumberFormat="1" applyFont="1" applyFill="1" applyBorder="1" applyProtection="1">
      <protection locked="0"/>
    </xf>
    <xf numFmtId="174" fontId="4" fillId="3" borderId="95" xfId="3" applyNumberFormat="1" applyFont="1" applyFill="1" applyBorder="1" applyProtection="1">
      <protection locked="0"/>
    </xf>
    <xf numFmtId="3" fontId="4" fillId="3" borderId="96" xfId="3" applyNumberFormat="1" applyFont="1" applyFill="1" applyBorder="1" applyProtection="1">
      <protection locked="0"/>
    </xf>
    <xf numFmtId="3" fontId="4" fillId="3" borderId="97" xfId="3" applyNumberFormat="1" applyFont="1" applyFill="1" applyBorder="1" applyProtection="1">
      <protection locked="0"/>
    </xf>
    <xf numFmtId="174" fontId="4" fillId="3" borderId="98" xfId="3" applyNumberFormat="1" applyFont="1" applyFill="1" applyBorder="1" applyProtection="1">
      <protection locked="0"/>
    </xf>
    <xf numFmtId="3" fontId="4" fillId="3" borderId="99" xfId="3" applyNumberFormat="1" applyFont="1" applyFill="1" applyBorder="1" applyProtection="1">
      <protection locked="0"/>
    </xf>
    <xf numFmtId="3" fontId="4" fillId="3" borderId="100" xfId="3" applyNumberFormat="1" applyFont="1" applyFill="1" applyBorder="1" applyProtection="1">
      <protection locked="0"/>
    </xf>
    <xf numFmtId="174" fontId="4" fillId="3" borderId="101" xfId="3" applyNumberFormat="1" applyFont="1" applyFill="1" applyBorder="1" applyProtection="1">
      <protection locked="0"/>
    </xf>
    <xf numFmtId="0" fontId="49" fillId="3" borderId="0" xfId="10" applyFill="1"/>
    <xf numFmtId="178" fontId="8" fillId="3" borderId="0" xfId="3" applyNumberFormat="1" applyFont="1" applyFill="1" applyAlignment="1">
      <alignment horizontal="center"/>
    </xf>
    <xf numFmtId="0" fontId="57" fillId="3" borderId="0" xfId="3" applyFont="1" applyFill="1" applyAlignment="1">
      <alignment vertical="center"/>
    </xf>
    <xf numFmtId="0" fontId="7" fillId="0" borderId="0" xfId="3" applyProtection="1">
      <protection hidden="1"/>
    </xf>
    <xf numFmtId="0" fontId="58" fillId="0" borderId="0" xfId="3" applyFont="1" applyAlignment="1" applyProtection="1">
      <alignment horizontal="justify" wrapText="1"/>
      <protection hidden="1"/>
    </xf>
    <xf numFmtId="0" fontId="23" fillId="0" borderId="0" xfId="3" applyFont="1" applyProtection="1">
      <protection hidden="1"/>
    </xf>
    <xf numFmtId="0" fontId="23" fillId="0" borderId="0" xfId="3" applyFont="1" applyAlignment="1" applyProtection="1">
      <alignment horizontal="justify"/>
      <protection hidden="1"/>
    </xf>
    <xf numFmtId="0" fontId="35" fillId="0" borderId="0" xfId="3" applyFont="1" applyProtection="1">
      <protection hidden="1"/>
    </xf>
    <xf numFmtId="0" fontId="4" fillId="0" borderId="0" xfId="3" applyFont="1" applyProtection="1">
      <protection hidden="1"/>
    </xf>
    <xf numFmtId="0" fontId="26" fillId="22" borderId="0" xfId="3" applyFont="1" applyFill="1" applyProtection="1">
      <protection hidden="1"/>
    </xf>
    <xf numFmtId="17" fontId="9" fillId="0" borderId="18" xfId="3" applyNumberFormat="1" applyFont="1" applyBorder="1" applyAlignment="1" applyProtection="1">
      <alignment horizontal="center"/>
      <protection hidden="1"/>
    </xf>
    <xf numFmtId="0" fontId="9" fillId="0" borderId="18" xfId="3" applyFont="1" applyBorder="1" applyAlignment="1" applyProtection="1">
      <alignment horizontal="center"/>
      <protection hidden="1"/>
    </xf>
    <xf numFmtId="169" fontId="9" fillId="0" borderId="18" xfId="3" applyNumberFormat="1" applyFont="1" applyBorder="1" applyAlignment="1" applyProtection="1">
      <alignment horizontal="center"/>
      <protection hidden="1"/>
    </xf>
    <xf numFmtId="0" fontId="23" fillId="0" borderId="18" xfId="3" applyFont="1" applyBorder="1" applyAlignment="1" applyProtection="1">
      <alignment horizontal="center"/>
      <protection hidden="1"/>
    </xf>
    <xf numFmtId="0" fontId="2" fillId="0" borderId="40" xfId="3" applyFont="1" applyBorder="1" applyAlignment="1" applyProtection="1">
      <alignment horizontal="center" wrapText="1"/>
      <protection hidden="1"/>
    </xf>
    <xf numFmtId="0" fontId="9" fillId="0" borderId="18" xfId="3" applyFont="1" applyBorder="1" applyAlignment="1" applyProtection="1">
      <alignment horizontal="centerContinuous"/>
      <protection hidden="1"/>
    </xf>
    <xf numFmtId="0" fontId="26" fillId="0" borderId="18" xfId="3" applyFont="1" applyBorder="1" applyProtection="1">
      <protection hidden="1"/>
    </xf>
    <xf numFmtId="0" fontId="26" fillId="20" borderId="82" xfId="3" applyFont="1" applyFill="1" applyBorder="1" applyAlignment="1" applyProtection="1">
      <alignment horizontal="left"/>
      <protection hidden="1"/>
    </xf>
    <xf numFmtId="0" fontId="7" fillId="22" borderId="36" xfId="3" applyFill="1" applyBorder="1" applyAlignment="1" applyProtection="1">
      <alignment horizontal="center"/>
      <protection hidden="1"/>
    </xf>
    <xf numFmtId="165" fontId="26" fillId="20" borderId="36" xfId="3" applyNumberFormat="1" applyFont="1" applyFill="1" applyBorder="1" applyProtection="1">
      <protection hidden="1"/>
    </xf>
    <xf numFmtId="165" fontId="26" fillId="20" borderId="35" xfId="3" applyNumberFormat="1" applyFont="1" applyFill="1" applyBorder="1" applyProtection="1">
      <protection hidden="1"/>
    </xf>
    <xf numFmtId="1" fontId="26" fillId="20" borderId="36" xfId="3" applyNumberFormat="1" applyFont="1" applyFill="1" applyBorder="1" applyProtection="1">
      <protection hidden="1"/>
    </xf>
    <xf numFmtId="1" fontId="26" fillId="20" borderId="35" xfId="3" applyNumberFormat="1" applyFont="1" applyFill="1" applyBorder="1" applyProtection="1">
      <protection hidden="1"/>
    </xf>
    <xf numFmtId="165" fontId="26" fillId="20" borderId="18" xfId="3" applyNumberFormat="1" applyFont="1" applyFill="1" applyBorder="1" applyProtection="1">
      <protection hidden="1"/>
    </xf>
    <xf numFmtId="1" fontId="26" fillId="20" borderId="18" xfId="3" applyNumberFormat="1" applyFont="1" applyFill="1" applyBorder="1" applyProtection="1">
      <protection hidden="1"/>
    </xf>
    <xf numFmtId="0" fontId="26" fillId="0" borderId="0" xfId="3" applyFont="1" applyProtection="1">
      <protection hidden="1"/>
    </xf>
    <xf numFmtId="0" fontId="26" fillId="22" borderId="36" xfId="3" applyFont="1" applyFill="1" applyBorder="1" applyAlignment="1" applyProtection="1">
      <alignment horizontal="center"/>
      <protection hidden="1"/>
    </xf>
    <xf numFmtId="1" fontId="26" fillId="16" borderId="18" xfId="3" applyNumberFormat="1" applyFont="1" applyFill="1" applyBorder="1" applyProtection="1">
      <protection hidden="1"/>
    </xf>
    <xf numFmtId="0" fontId="33" fillId="0" borderId="18" xfId="3" applyFont="1" applyBorder="1" applyAlignment="1" applyProtection="1">
      <alignment horizontal="center" wrapText="1"/>
      <protection hidden="1"/>
    </xf>
    <xf numFmtId="0" fontId="23" fillId="23" borderId="18" xfId="3" applyFont="1" applyFill="1" applyBorder="1" applyAlignment="1" applyProtection="1">
      <alignment horizontal="center" vertical="center"/>
      <protection hidden="1"/>
    </xf>
    <xf numFmtId="0" fontId="2" fillId="0" borderId="0" xfId="3" applyFont="1"/>
    <xf numFmtId="0" fontId="7" fillId="0" borderId="0" xfId="3"/>
    <xf numFmtId="169" fontId="2" fillId="0" borderId="0" xfId="3" applyNumberFormat="1" applyFont="1"/>
    <xf numFmtId="0" fontId="14" fillId="29" borderId="0" xfId="2" applyFont="1" applyFill="1" applyAlignment="1" applyProtection="1">
      <alignment vertical="center"/>
      <protection hidden="1"/>
    </xf>
    <xf numFmtId="0" fontId="64" fillId="3" borderId="0" xfId="2" applyFont="1" applyFill="1"/>
    <xf numFmtId="0" fontId="64" fillId="3" borderId="2" xfId="2" applyFont="1" applyFill="1" applyBorder="1"/>
    <xf numFmtId="0" fontId="64" fillId="3" borderId="3" xfId="2" applyFont="1" applyFill="1" applyBorder="1"/>
    <xf numFmtId="0" fontId="64" fillId="3" borderId="4" xfId="2" applyFont="1" applyFill="1" applyBorder="1"/>
    <xf numFmtId="0" fontId="64" fillId="3" borderId="0" xfId="2" applyFont="1" applyFill="1" applyAlignment="1">
      <alignment vertical="center"/>
    </xf>
    <xf numFmtId="0" fontId="64" fillId="3" borderId="5" xfId="2" applyFont="1" applyFill="1" applyBorder="1"/>
    <xf numFmtId="0" fontId="64" fillId="3" borderId="6" xfId="2" applyFont="1" applyFill="1" applyBorder="1"/>
    <xf numFmtId="0" fontId="64" fillId="3" borderId="0" xfId="2" applyFont="1" applyFill="1" applyAlignment="1">
      <alignment vertical="center" wrapText="1"/>
    </xf>
    <xf numFmtId="0" fontId="64" fillId="3" borderId="0" xfId="2" applyFont="1" applyFill="1" applyAlignment="1">
      <alignment vertical="top" wrapText="1"/>
    </xf>
    <xf numFmtId="0" fontId="69" fillId="3" borderId="0" xfId="2" applyFont="1" applyFill="1"/>
    <xf numFmtId="0" fontId="64" fillId="3" borderId="7" xfId="2" applyFont="1" applyFill="1" applyBorder="1"/>
    <xf numFmtId="0" fontId="64" fillId="3" borderId="8" xfId="2" applyFont="1" applyFill="1" applyBorder="1"/>
    <xf numFmtId="0" fontId="64" fillId="3" borderId="9" xfId="2" applyFont="1" applyFill="1" applyBorder="1"/>
    <xf numFmtId="0" fontId="2" fillId="3" borderId="13" xfId="2" applyFill="1" applyBorder="1" applyAlignment="1">
      <alignment vertical="center" wrapText="1"/>
    </xf>
    <xf numFmtId="0" fontId="2" fillId="3" borderId="16" xfId="2" applyFill="1" applyBorder="1" applyAlignment="1">
      <alignment horizontal="left" vertical="center" wrapText="1"/>
    </xf>
    <xf numFmtId="0" fontId="2" fillId="3" borderId="16" xfId="2" applyFill="1" applyBorder="1" applyAlignment="1">
      <alignment vertical="center" wrapText="1"/>
    </xf>
    <xf numFmtId="0" fontId="2" fillId="3" borderId="16" xfId="2" applyFill="1" applyBorder="1" applyAlignment="1">
      <alignment wrapText="1"/>
    </xf>
    <xf numFmtId="0" fontId="0" fillId="29" borderId="0" xfId="0" applyFill="1"/>
    <xf numFmtId="0" fontId="12" fillId="3" borderId="0" xfId="3" applyFont="1" applyFill="1" applyAlignment="1" applyProtection="1">
      <alignment horizontal="center" vertical="center"/>
      <protection locked="0"/>
    </xf>
    <xf numFmtId="0" fontId="7" fillId="3" borderId="0" xfId="3" applyFill="1" applyAlignment="1">
      <alignment horizontal="center" vertical="center"/>
    </xf>
    <xf numFmtId="0" fontId="16" fillId="3" borderId="0" xfId="3" applyFont="1" applyFill="1" applyAlignment="1">
      <alignment horizontal="center" vertical="center" wrapText="1"/>
    </xf>
    <xf numFmtId="0" fontId="73" fillId="31" borderId="0" xfId="15">
      <alignment horizontal="center" vertical="center" wrapText="1"/>
      <protection hidden="1"/>
    </xf>
    <xf numFmtId="0" fontId="74" fillId="32" borderId="36" xfId="16">
      <alignment horizontal="center" vertical="center" shrinkToFit="1"/>
      <protection hidden="1"/>
    </xf>
    <xf numFmtId="0" fontId="74" fillId="32" borderId="36" xfId="16" applyAlignment="1">
      <alignment horizontal="center" vertical="center"/>
      <protection hidden="1"/>
    </xf>
    <xf numFmtId="3" fontId="2" fillId="28" borderId="28" xfId="3" applyNumberFormat="1" applyFont="1" applyFill="1" applyBorder="1" applyAlignment="1" applyProtection="1">
      <alignment horizontal="center" vertical="center"/>
      <protection locked="0" hidden="1"/>
    </xf>
    <xf numFmtId="3" fontId="2" fillId="28" borderId="30" xfId="3" applyNumberFormat="1" applyFont="1" applyFill="1" applyBorder="1" applyAlignment="1" applyProtection="1">
      <alignment horizontal="center" vertical="center"/>
      <protection locked="0" hidden="1"/>
    </xf>
    <xf numFmtId="3" fontId="2" fillId="28" borderId="50" xfId="3" applyNumberFormat="1" applyFont="1" applyFill="1" applyBorder="1" applyAlignment="1" applyProtection="1">
      <alignment horizontal="center" vertical="center"/>
      <protection locked="0" hidden="1"/>
    </xf>
    <xf numFmtId="0" fontId="7" fillId="3" borderId="0" xfId="3" applyFill="1" applyAlignment="1" applyProtection="1">
      <alignment horizontal="center" vertical="center"/>
      <protection hidden="1"/>
    </xf>
    <xf numFmtId="0" fontId="2" fillId="3" borderId="0" xfId="3" applyFont="1" applyFill="1" applyAlignment="1" applyProtection="1">
      <alignment horizontal="center" vertical="center"/>
      <protection hidden="1"/>
    </xf>
    <xf numFmtId="0" fontId="23" fillId="3" borderId="0" xfId="3" applyFont="1" applyFill="1" applyAlignment="1" applyProtection="1">
      <alignment horizontal="center" vertical="center"/>
      <protection hidden="1"/>
    </xf>
    <xf numFmtId="0" fontId="26" fillId="3" borderId="0" xfId="3" applyFont="1" applyFill="1" applyAlignment="1" applyProtection="1">
      <alignment horizontal="center" vertical="center"/>
      <protection hidden="1"/>
    </xf>
    <xf numFmtId="3" fontId="26" fillId="6" borderId="20" xfId="3" applyNumberFormat="1" applyFont="1" applyFill="1" applyBorder="1" applyAlignment="1" applyProtection="1">
      <alignment horizontal="center" vertical="center"/>
      <protection locked="0" hidden="1"/>
    </xf>
    <xf numFmtId="3" fontId="26" fillId="6" borderId="21" xfId="3" applyNumberFormat="1" applyFont="1" applyFill="1" applyBorder="1" applyAlignment="1" applyProtection="1">
      <alignment horizontal="center" vertical="center"/>
      <protection locked="0" hidden="1"/>
    </xf>
    <xf numFmtId="3" fontId="26" fillId="6" borderId="42" xfId="3" applyNumberFormat="1" applyFont="1" applyFill="1" applyBorder="1" applyAlignment="1" applyProtection="1">
      <alignment horizontal="center" vertical="center"/>
      <protection hidden="1"/>
    </xf>
    <xf numFmtId="0" fontId="35" fillId="3" borderId="0" xfId="3" applyFont="1" applyFill="1" applyAlignment="1" applyProtection="1">
      <alignment horizontal="center" vertical="center"/>
      <protection hidden="1"/>
    </xf>
    <xf numFmtId="3" fontId="26" fillId="3" borderId="0" xfId="2" applyNumberFormat="1" applyFont="1" applyFill="1" applyAlignment="1" applyProtection="1">
      <alignment horizontal="center" vertical="center"/>
      <protection hidden="1"/>
    </xf>
    <xf numFmtId="3" fontId="26" fillId="3" borderId="0" xfId="3" applyNumberFormat="1" applyFont="1" applyFill="1" applyAlignment="1" applyProtection="1">
      <alignment horizontal="center" vertical="center"/>
      <protection hidden="1"/>
    </xf>
    <xf numFmtId="17" fontId="7" fillId="3" borderId="0" xfId="3" applyNumberFormat="1" applyFill="1" applyAlignment="1" applyProtection="1">
      <alignment horizontal="center" vertical="center"/>
      <protection hidden="1"/>
    </xf>
    <xf numFmtId="3" fontId="26" fillId="28" borderId="28" xfId="3" applyNumberFormat="1" applyFont="1" applyFill="1" applyBorder="1" applyAlignment="1" applyProtection="1">
      <alignment horizontal="center" vertical="center"/>
      <protection locked="0" hidden="1"/>
    </xf>
    <xf numFmtId="3" fontId="26" fillId="28" borderId="30" xfId="3" applyNumberFormat="1" applyFont="1" applyFill="1" applyBorder="1" applyAlignment="1" applyProtection="1">
      <alignment horizontal="center" vertical="center"/>
      <protection locked="0" hidden="1"/>
    </xf>
    <xf numFmtId="3" fontId="26" fillId="28" borderId="50" xfId="3" applyNumberFormat="1" applyFont="1" applyFill="1" applyBorder="1" applyAlignment="1" applyProtection="1">
      <alignment horizontal="center" vertical="center"/>
      <protection locked="0" hidden="1"/>
    </xf>
    <xf numFmtId="0" fontId="3" fillId="3" borderId="0" xfId="3" applyFont="1" applyFill="1" applyAlignment="1" applyProtection="1">
      <alignment horizontal="center" vertical="center"/>
      <protection hidden="1"/>
    </xf>
    <xf numFmtId="0" fontId="75" fillId="33" borderId="0" xfId="17">
      <alignment horizontal="center" vertical="center"/>
      <protection hidden="1"/>
    </xf>
    <xf numFmtId="0" fontId="76" fillId="34" borderId="119" xfId="18">
      <alignment horizontal="center" vertical="center"/>
      <protection hidden="1"/>
    </xf>
    <xf numFmtId="0" fontId="90" fillId="35" borderId="36" xfId="19">
      <alignment horizontal="center" vertical="center"/>
      <protection hidden="1"/>
    </xf>
    <xf numFmtId="165" fontId="77" fillId="36" borderId="18" xfId="20">
      <alignment horizontal="center" vertical="center"/>
      <protection hidden="1"/>
    </xf>
    <xf numFmtId="165" fontId="26" fillId="16" borderId="43" xfId="3" applyNumberFormat="1" applyFont="1" applyFill="1" applyBorder="1" applyAlignment="1" applyProtection="1">
      <alignment horizontal="center" vertical="center"/>
      <protection hidden="1"/>
    </xf>
    <xf numFmtId="165" fontId="26" fillId="16" borderId="42" xfId="3" applyNumberFormat="1" applyFont="1" applyFill="1" applyBorder="1" applyAlignment="1" applyProtection="1">
      <alignment horizontal="center" vertical="center"/>
      <protection hidden="1"/>
    </xf>
    <xf numFmtId="0" fontId="10" fillId="3" borderId="0" xfId="3" applyFont="1" applyFill="1" applyAlignment="1">
      <alignment horizontal="center" vertical="center"/>
    </xf>
    <xf numFmtId="0" fontId="11" fillId="3" borderId="0" xfId="3" applyFont="1" applyFill="1" applyAlignment="1">
      <alignment horizontal="center" vertical="center"/>
    </xf>
    <xf numFmtId="0" fontId="2" fillId="3" borderId="0" xfId="3" applyFont="1" applyFill="1" applyAlignment="1">
      <alignment horizontal="center" vertical="center"/>
    </xf>
    <xf numFmtId="17" fontId="10" fillId="3" borderId="0" xfId="3" applyNumberFormat="1" applyFont="1" applyFill="1" applyAlignment="1">
      <alignment horizontal="center" vertical="center"/>
    </xf>
    <xf numFmtId="17" fontId="7" fillId="3" borderId="22" xfId="3" applyNumberFormat="1" applyFill="1" applyBorder="1" applyAlignment="1">
      <alignment horizontal="center" vertical="center"/>
    </xf>
    <xf numFmtId="0" fontId="7" fillId="3" borderId="4" xfId="3" applyFill="1" applyBorder="1" applyAlignment="1">
      <alignment horizontal="center" vertical="center"/>
    </xf>
    <xf numFmtId="0" fontId="2" fillId="3" borderId="21" xfId="3" quotePrefix="1" applyFont="1" applyFill="1" applyBorder="1" applyAlignment="1">
      <alignment horizontal="center" vertical="center"/>
    </xf>
    <xf numFmtId="17" fontId="7" fillId="3" borderId="23" xfId="3" applyNumberFormat="1" applyFill="1" applyBorder="1" applyAlignment="1">
      <alignment horizontal="center" vertical="center"/>
    </xf>
    <xf numFmtId="0" fontId="7" fillId="3" borderId="21" xfId="3" applyFill="1" applyBorder="1" applyAlignment="1">
      <alignment horizontal="center" vertical="center"/>
    </xf>
    <xf numFmtId="0" fontId="7" fillId="3" borderId="6" xfId="3" applyFill="1" applyBorder="1" applyAlignment="1">
      <alignment horizontal="center" vertical="center"/>
    </xf>
    <xf numFmtId="0" fontId="7" fillId="3" borderId="9" xfId="3" applyFill="1" applyBorder="1" applyAlignment="1">
      <alignment horizontal="center" vertical="center"/>
    </xf>
    <xf numFmtId="17" fontId="7" fillId="3" borderId="4" xfId="3" applyNumberFormat="1" applyFill="1" applyBorder="1" applyAlignment="1">
      <alignment horizontal="center" vertical="center"/>
    </xf>
    <xf numFmtId="17" fontId="7" fillId="3" borderId="9" xfId="3" applyNumberFormat="1" applyFill="1" applyBorder="1" applyAlignment="1">
      <alignment horizontal="center" vertical="center"/>
    </xf>
    <xf numFmtId="49" fontId="18" fillId="3" borderId="0" xfId="3" applyNumberFormat="1" applyFont="1" applyFill="1" applyAlignment="1">
      <alignment horizontal="center" vertical="center"/>
    </xf>
    <xf numFmtId="9" fontId="4" fillId="3" borderId="0" xfId="3" applyNumberFormat="1" applyFont="1" applyFill="1" applyAlignment="1">
      <alignment horizontal="center" vertical="center"/>
    </xf>
    <xf numFmtId="49" fontId="7" fillId="3" borderId="0" xfId="3" applyNumberFormat="1" applyFill="1" applyAlignment="1">
      <alignment horizontal="center" vertical="center"/>
    </xf>
    <xf numFmtId="0" fontId="19" fillId="3" borderId="0" xfId="3" applyFont="1" applyFill="1" applyAlignment="1">
      <alignment horizontal="center" vertical="center" wrapText="1"/>
    </xf>
    <xf numFmtId="164" fontId="4" fillId="3" borderId="0" xfId="3" applyNumberFormat="1" applyFont="1" applyFill="1" applyAlignment="1">
      <alignment horizontal="center" vertical="center"/>
    </xf>
    <xf numFmtId="0" fontId="19" fillId="3" borderId="0" xfId="3" applyFont="1" applyFill="1" applyAlignment="1">
      <alignment horizontal="center" vertical="center"/>
    </xf>
    <xf numFmtId="17" fontId="7" fillId="3" borderId="0" xfId="3" applyNumberFormat="1" applyFill="1" applyAlignment="1">
      <alignment horizontal="center" vertical="center"/>
    </xf>
    <xf numFmtId="0" fontId="7" fillId="3" borderId="0" xfId="3" applyFill="1" applyAlignment="1">
      <alignment horizontal="center" vertical="center" wrapText="1"/>
    </xf>
    <xf numFmtId="0" fontId="22" fillId="3" borderId="0" xfId="3" applyFont="1" applyFill="1" applyAlignment="1">
      <alignment horizontal="center" vertical="center" wrapText="1"/>
    </xf>
    <xf numFmtId="0" fontId="26" fillId="3" borderId="0" xfId="3" applyFont="1" applyFill="1" applyAlignment="1">
      <alignment horizontal="center" vertical="center" wrapText="1"/>
    </xf>
    <xf numFmtId="0" fontId="27" fillId="3" borderId="0" xfId="3" applyFont="1" applyFill="1" applyAlignment="1">
      <alignment horizontal="center" vertical="center" wrapText="1"/>
    </xf>
    <xf numFmtId="0" fontId="61" fillId="26" borderId="119" xfId="13" applyBorder="1" applyAlignment="1" applyProtection="1">
      <alignment horizontal="center" vertical="center"/>
      <protection hidden="1"/>
    </xf>
    <xf numFmtId="0" fontId="27" fillId="26" borderId="19" xfId="13" applyFont="1" applyBorder="1" applyAlignment="1" applyProtection="1">
      <alignment horizontal="center" vertical="center"/>
      <protection hidden="1"/>
    </xf>
    <xf numFmtId="0" fontId="14" fillId="9" borderId="7" xfId="2" applyFont="1" applyFill="1" applyBorder="1" applyAlignment="1" applyProtection="1">
      <alignment horizontal="center" vertical="center"/>
      <protection hidden="1"/>
    </xf>
    <xf numFmtId="0" fontId="14" fillId="9" borderId="8" xfId="2" applyFont="1" applyFill="1" applyBorder="1" applyAlignment="1" applyProtection="1">
      <alignment horizontal="center" vertical="center"/>
      <protection hidden="1"/>
    </xf>
    <xf numFmtId="17" fontId="4" fillId="5" borderId="18" xfId="2" applyNumberFormat="1" applyFont="1" applyFill="1" applyBorder="1" applyAlignment="1" applyProtection="1">
      <alignment horizontal="center" vertical="center"/>
      <protection locked="0"/>
    </xf>
    <xf numFmtId="0" fontId="76" fillId="28" borderId="119" xfId="18" applyFill="1">
      <alignment horizontal="center" vertical="center"/>
      <protection hidden="1"/>
    </xf>
    <xf numFmtId="165" fontId="76" fillId="34" borderId="119" xfId="18" applyNumberFormat="1">
      <alignment horizontal="center" vertical="center"/>
      <protection hidden="1"/>
    </xf>
    <xf numFmtId="0" fontId="14" fillId="29" borderId="0" xfId="2" applyFont="1" applyFill="1" applyAlignment="1" applyProtection="1">
      <alignment horizontal="center" vertical="center"/>
      <protection hidden="1"/>
    </xf>
    <xf numFmtId="0" fontId="14" fillId="29" borderId="29" xfId="2" applyFont="1" applyFill="1" applyBorder="1" applyAlignment="1" applyProtection="1">
      <alignment horizontal="center" vertical="center"/>
      <protection hidden="1"/>
    </xf>
    <xf numFmtId="9" fontId="76" fillId="34" borderId="119" xfId="18" applyNumberFormat="1">
      <alignment horizontal="center" vertical="center"/>
      <protection hidden="1"/>
    </xf>
    <xf numFmtId="2" fontId="76" fillId="34" borderId="119" xfId="18" applyNumberFormat="1">
      <alignment horizontal="center" vertical="center"/>
      <protection hidden="1"/>
    </xf>
    <xf numFmtId="9" fontId="61" fillId="25" borderId="55" xfId="12" applyNumberFormat="1" applyBorder="1" applyAlignment="1" applyProtection="1">
      <alignment horizontal="center"/>
      <protection hidden="1"/>
    </xf>
    <xf numFmtId="9" fontId="61" fillId="25" borderId="63" xfId="12" applyNumberFormat="1" applyBorder="1" applyAlignment="1" applyProtection="1">
      <alignment horizontal="center"/>
      <protection hidden="1"/>
    </xf>
    <xf numFmtId="14" fontId="76" fillId="34" borderId="119" xfId="18" applyNumberFormat="1">
      <alignment horizontal="center" vertical="center"/>
      <protection hidden="1"/>
    </xf>
    <xf numFmtId="167" fontId="14" fillId="3" borderId="0" xfId="1" applyNumberFormat="1" applyFont="1" applyFill="1" applyBorder="1" applyAlignment="1" applyProtection="1">
      <alignment vertical="center"/>
      <protection locked="0" hidden="1"/>
    </xf>
    <xf numFmtId="165" fontId="76" fillId="34" borderId="36" xfId="18" applyNumberFormat="1" applyBorder="1">
      <alignment horizontal="center" vertical="center"/>
      <protection hidden="1"/>
    </xf>
    <xf numFmtId="0" fontId="75" fillId="33" borderId="36" xfId="17" applyBorder="1">
      <alignment horizontal="center" vertical="center"/>
      <protection hidden="1"/>
    </xf>
    <xf numFmtId="0" fontId="78" fillId="35" borderId="36" xfId="19" applyFont="1">
      <alignment horizontal="center" vertical="center"/>
      <protection hidden="1"/>
    </xf>
    <xf numFmtId="0" fontId="76" fillId="34" borderId="122" xfId="18" applyBorder="1">
      <alignment horizontal="center" vertical="center"/>
      <protection hidden="1"/>
    </xf>
    <xf numFmtId="0" fontId="82" fillId="33" borderId="42" xfId="17" applyFont="1" applyBorder="1" applyAlignment="1">
      <alignment horizontal="center" vertical="center" wrapText="1"/>
      <protection hidden="1"/>
    </xf>
    <xf numFmtId="165" fontId="76" fillId="34" borderId="124" xfId="18" applyNumberFormat="1" applyBorder="1">
      <alignment horizontal="center" vertical="center"/>
      <protection hidden="1"/>
    </xf>
    <xf numFmtId="165" fontId="76" fillId="34" borderId="129" xfId="18" applyNumberFormat="1" applyBorder="1">
      <alignment horizontal="center" vertical="center"/>
      <protection hidden="1"/>
    </xf>
    <xf numFmtId="1" fontId="76" fillId="34" borderId="119" xfId="18" applyNumberFormat="1">
      <alignment horizontal="center" vertical="center"/>
      <protection hidden="1"/>
    </xf>
    <xf numFmtId="0" fontId="87" fillId="34" borderId="119" xfId="18" applyFont="1">
      <alignment horizontal="center" vertical="center"/>
      <protection hidden="1"/>
    </xf>
    <xf numFmtId="0" fontId="91" fillId="35" borderId="36" xfId="19" applyFont="1">
      <alignment horizontal="center" vertical="center"/>
      <protection hidden="1"/>
    </xf>
    <xf numFmtId="0" fontId="90" fillId="35" borderId="36" xfId="19" quotePrefix="1">
      <alignment horizontal="center" vertical="center"/>
      <protection hidden="1"/>
    </xf>
    <xf numFmtId="0" fontId="81" fillId="33" borderId="0" xfId="17" applyFont="1">
      <alignment horizontal="center" vertical="center"/>
      <protection hidden="1"/>
    </xf>
    <xf numFmtId="0" fontId="90" fillId="35" borderId="36" xfId="19" applyAlignment="1">
      <alignment horizontal="center" vertical="center" wrapText="1"/>
      <protection hidden="1"/>
    </xf>
    <xf numFmtId="0" fontId="26" fillId="37" borderId="49" xfId="2" applyFont="1" applyFill="1" applyBorder="1" applyAlignment="1" applyProtection="1">
      <alignment horizontal="center" vertical="center"/>
      <protection hidden="1"/>
    </xf>
    <xf numFmtId="10" fontId="93" fillId="24" borderId="36" xfId="11" applyNumberFormat="1" applyFont="1" applyBorder="1" applyAlignment="1" applyProtection="1">
      <alignment horizontal="center" vertical="center"/>
      <protection hidden="1"/>
    </xf>
    <xf numFmtId="0" fontId="79" fillId="35" borderId="36" xfId="19" applyFont="1">
      <alignment horizontal="center" vertical="center"/>
      <protection hidden="1"/>
    </xf>
    <xf numFmtId="164" fontId="76" fillId="34" borderId="119" xfId="18" applyNumberFormat="1">
      <alignment horizontal="center" vertical="center"/>
      <protection hidden="1"/>
    </xf>
    <xf numFmtId="9" fontId="77" fillId="36" borderId="18" xfId="20" applyNumberFormat="1">
      <alignment horizontal="center" vertical="center"/>
      <protection hidden="1"/>
    </xf>
    <xf numFmtId="10" fontId="76" fillId="34" borderId="119" xfId="18" applyNumberFormat="1">
      <alignment horizontal="center" vertical="center"/>
      <protection hidden="1"/>
    </xf>
    <xf numFmtId="0" fontId="82" fillId="33" borderId="0" xfId="17" applyFont="1">
      <alignment horizontal="center" vertical="center"/>
      <protection hidden="1"/>
    </xf>
    <xf numFmtId="0" fontId="95" fillId="35" borderId="36" xfId="19" applyFont="1" applyAlignment="1">
      <alignment horizontal="left" vertical="center"/>
      <protection hidden="1"/>
    </xf>
    <xf numFmtId="0" fontId="94" fillId="35" borderId="36" xfId="19" applyFont="1" applyAlignment="1">
      <alignment horizontal="left" vertical="center"/>
      <protection hidden="1"/>
    </xf>
    <xf numFmtId="0" fontId="96" fillId="35" borderId="36" xfId="19" applyFont="1" applyAlignment="1">
      <alignment horizontal="center" vertical="center" wrapText="1"/>
      <protection hidden="1"/>
    </xf>
    <xf numFmtId="0" fontId="96" fillId="35" borderId="35" xfId="19" applyFont="1" applyBorder="1" applyAlignment="1">
      <alignment horizontal="center" vertical="center" wrapText="1"/>
      <protection hidden="1"/>
    </xf>
    <xf numFmtId="0" fontId="76" fillId="34" borderId="130" xfId="18" applyBorder="1">
      <alignment horizontal="center" vertical="center"/>
      <protection hidden="1"/>
    </xf>
    <xf numFmtId="0" fontId="78" fillId="35" borderId="36" xfId="19" applyFont="1" applyAlignment="1">
      <alignment horizontal="center" vertical="center" wrapText="1"/>
      <protection hidden="1"/>
    </xf>
    <xf numFmtId="179" fontId="76" fillId="34" borderId="119" xfId="18" applyNumberFormat="1">
      <alignment horizontal="center" vertical="center"/>
      <protection hidden="1"/>
    </xf>
    <xf numFmtId="0" fontId="74" fillId="31" borderId="0" xfId="15" applyFont="1">
      <alignment horizontal="center" vertical="center" wrapText="1"/>
      <protection hidden="1"/>
    </xf>
    <xf numFmtId="165" fontId="77" fillId="36" borderId="18" xfId="20" applyAlignment="1">
      <alignment horizontal="center" vertical="center" wrapText="1"/>
      <protection hidden="1"/>
    </xf>
    <xf numFmtId="0" fontId="75" fillId="33" borderId="0" xfId="17" applyAlignment="1">
      <alignment horizontal="center" vertical="center" wrapText="1"/>
      <protection hidden="1"/>
    </xf>
    <xf numFmtId="10" fontId="87" fillId="34" borderId="119" xfId="18" applyNumberFormat="1" applyFont="1">
      <alignment horizontal="center" vertical="center"/>
      <protection hidden="1"/>
    </xf>
    <xf numFmtId="174" fontId="76" fillId="34" borderId="119" xfId="18" applyNumberFormat="1">
      <alignment horizontal="center" vertical="center"/>
      <protection hidden="1"/>
    </xf>
    <xf numFmtId="165" fontId="76" fillId="34" borderId="125" xfId="18" applyNumberFormat="1" applyBorder="1">
      <alignment horizontal="center" vertical="center"/>
      <protection hidden="1"/>
    </xf>
    <xf numFmtId="165" fontId="76" fillId="34" borderId="36" xfId="18" applyNumberFormat="1" applyBorder="1">
      <alignment horizontal="center" vertical="center"/>
      <protection hidden="1"/>
    </xf>
    <xf numFmtId="179" fontId="76" fillId="34" borderId="119" xfId="18" applyNumberFormat="1">
      <alignment horizontal="center" vertical="center"/>
      <protection hidden="1"/>
    </xf>
    <xf numFmtId="165" fontId="76" fillId="34" borderId="123" xfId="18" applyNumberFormat="1" applyBorder="1">
      <alignment horizontal="center" vertical="center"/>
      <protection hidden="1"/>
    </xf>
    <xf numFmtId="165" fontId="76" fillId="34" borderId="124" xfId="18" applyNumberFormat="1" applyBorder="1">
      <alignment horizontal="center" vertical="center"/>
      <protection hidden="1"/>
    </xf>
    <xf numFmtId="165" fontId="76" fillId="34" borderId="127" xfId="18" applyNumberFormat="1" applyBorder="1">
      <alignment horizontal="center" vertical="center"/>
      <protection hidden="1"/>
    </xf>
    <xf numFmtId="165" fontId="76" fillId="34" borderId="128" xfId="18" applyNumberFormat="1" applyBorder="1">
      <alignment horizontal="center" vertical="center"/>
      <protection hidden="1"/>
    </xf>
    <xf numFmtId="0" fontId="73" fillId="31" borderId="0" xfId="15">
      <alignment horizontal="center" vertical="center" wrapText="1"/>
      <protection hidden="1"/>
    </xf>
    <xf numFmtId="0" fontId="73" fillId="31" borderId="42" xfId="15" applyBorder="1">
      <alignment horizontal="center" vertical="center" wrapText="1"/>
      <protection hidden="1"/>
    </xf>
    <xf numFmtId="0" fontId="84" fillId="33" borderId="36" xfId="17" applyFont="1" applyBorder="1" applyAlignment="1">
      <alignment horizontal="center" vertical="center" wrapText="1"/>
      <protection hidden="1"/>
    </xf>
    <xf numFmtId="0" fontId="84" fillId="33" borderId="42" xfId="17" applyFont="1" applyBorder="1" applyAlignment="1">
      <alignment horizontal="center" vertical="center" wrapText="1"/>
      <protection hidden="1"/>
    </xf>
    <xf numFmtId="0" fontId="82" fillId="33" borderId="36" xfId="17" applyFont="1" applyBorder="1" applyAlignment="1">
      <alignment horizontal="center" vertical="center" wrapText="1"/>
      <protection hidden="1"/>
    </xf>
    <xf numFmtId="0" fontId="82" fillId="33" borderId="42" xfId="17" applyFont="1" applyBorder="1" applyAlignment="1">
      <alignment horizontal="center" vertical="center" wrapText="1"/>
      <protection hidden="1"/>
    </xf>
    <xf numFmtId="0" fontId="76" fillId="34" borderId="122" xfId="18" applyBorder="1">
      <alignment horizontal="center" vertical="center"/>
      <protection hidden="1"/>
    </xf>
    <xf numFmtId="0" fontId="81" fillId="33" borderId="36" xfId="17" applyFont="1" applyBorder="1" applyAlignment="1">
      <alignment horizontal="center" vertical="center" wrapText="1"/>
      <protection hidden="1"/>
    </xf>
    <xf numFmtId="9" fontId="76" fillId="34" borderId="119" xfId="18" applyNumberFormat="1">
      <alignment horizontal="center" vertical="center"/>
      <protection hidden="1"/>
    </xf>
    <xf numFmtId="165" fontId="76" fillId="34" borderId="126" xfId="18" applyNumberFormat="1" applyBorder="1">
      <alignment horizontal="center" vertical="center"/>
      <protection hidden="1"/>
    </xf>
    <xf numFmtId="165" fontId="76" fillId="34" borderId="41" xfId="18" applyNumberFormat="1" applyBorder="1">
      <alignment horizontal="center" vertical="center"/>
      <protection hidden="1"/>
    </xf>
    <xf numFmtId="0" fontId="63" fillId="30" borderId="0" xfId="2" applyFont="1" applyFill="1" applyAlignment="1">
      <alignment horizontal="center" vertical="center"/>
    </xf>
    <xf numFmtId="0" fontId="64" fillId="3" borderId="2" xfId="2" applyFont="1" applyFill="1" applyBorder="1" applyAlignment="1">
      <alignment horizontal="center" vertical="center"/>
    </xf>
    <xf numFmtId="0" fontId="64" fillId="3" borderId="3" xfId="2" applyFont="1" applyFill="1" applyBorder="1" applyAlignment="1">
      <alignment horizontal="center" vertical="center"/>
    </xf>
    <xf numFmtId="0" fontId="64" fillId="3" borderId="4" xfId="2" applyFont="1" applyFill="1" applyBorder="1" applyAlignment="1">
      <alignment horizontal="center" vertical="center"/>
    </xf>
    <xf numFmtId="0" fontId="64" fillId="3" borderId="7" xfId="2" applyFont="1" applyFill="1" applyBorder="1" applyAlignment="1">
      <alignment horizontal="center" vertical="center"/>
    </xf>
    <xf numFmtId="0" fontId="64" fillId="3" borderId="8" xfId="2" applyFont="1" applyFill="1" applyBorder="1" applyAlignment="1">
      <alignment horizontal="center" vertical="center"/>
    </xf>
    <xf numFmtId="0" fontId="64" fillId="3" borderId="9" xfId="2" applyFont="1" applyFill="1" applyBorder="1" applyAlignment="1">
      <alignment horizontal="center" vertical="center"/>
    </xf>
    <xf numFmtId="0" fontId="64" fillId="3" borderId="2" xfId="2" applyFont="1" applyFill="1" applyBorder="1" applyAlignment="1">
      <alignment horizontal="center" vertical="center" wrapText="1"/>
    </xf>
    <xf numFmtId="0" fontId="64" fillId="3" borderId="3" xfId="2" applyFont="1" applyFill="1" applyBorder="1" applyAlignment="1">
      <alignment horizontal="center" vertical="center" wrapText="1"/>
    </xf>
    <xf numFmtId="0" fontId="64" fillId="3" borderId="4" xfId="2" applyFont="1" applyFill="1" applyBorder="1" applyAlignment="1">
      <alignment horizontal="center" vertical="center" wrapText="1"/>
    </xf>
    <xf numFmtId="0" fontId="64" fillId="3" borderId="5" xfId="2" applyFont="1" applyFill="1" applyBorder="1" applyAlignment="1">
      <alignment horizontal="center" vertical="center" wrapText="1"/>
    </xf>
    <xf numFmtId="0" fontId="64" fillId="3" borderId="0" xfId="2" applyFont="1" applyFill="1" applyAlignment="1">
      <alignment horizontal="center" vertical="center" wrapText="1"/>
    </xf>
    <xf numFmtId="0" fontId="64" fillId="3" borderId="6" xfId="2" applyFont="1" applyFill="1" applyBorder="1" applyAlignment="1">
      <alignment horizontal="center" vertical="center" wrapText="1"/>
    </xf>
    <xf numFmtId="0" fontId="64" fillId="3" borderId="7" xfId="2" applyFont="1" applyFill="1" applyBorder="1" applyAlignment="1">
      <alignment horizontal="center" vertical="center" wrapText="1"/>
    </xf>
    <xf numFmtId="0" fontId="64" fillId="3" borderId="8" xfId="2" applyFont="1" applyFill="1" applyBorder="1" applyAlignment="1">
      <alignment horizontal="center" vertical="center" wrapText="1"/>
    </xf>
    <xf numFmtId="0" fontId="64" fillId="3" borderId="9" xfId="2" applyFont="1" applyFill="1" applyBorder="1" applyAlignment="1">
      <alignment horizontal="center" vertical="center" wrapText="1"/>
    </xf>
    <xf numFmtId="0" fontId="64" fillId="3" borderId="2" xfId="2" applyFont="1" applyFill="1" applyBorder="1" applyAlignment="1">
      <alignment horizontal="center" vertical="top" wrapText="1"/>
    </xf>
    <xf numFmtId="0" fontId="64" fillId="3" borderId="3" xfId="2" applyFont="1" applyFill="1" applyBorder="1" applyAlignment="1">
      <alignment horizontal="center" vertical="top" wrapText="1"/>
    </xf>
    <xf numFmtId="0" fontId="64" fillId="3" borderId="4" xfId="2" applyFont="1" applyFill="1" applyBorder="1" applyAlignment="1">
      <alignment horizontal="center" vertical="top" wrapText="1"/>
    </xf>
    <xf numFmtId="0" fontId="64" fillId="3" borderId="5" xfId="2" applyFont="1" applyFill="1" applyBorder="1" applyAlignment="1">
      <alignment horizontal="center" vertical="top" wrapText="1"/>
    </xf>
    <xf numFmtId="0" fontId="64" fillId="3" borderId="0" xfId="2" applyFont="1" applyFill="1" applyAlignment="1">
      <alignment horizontal="center" vertical="top" wrapText="1"/>
    </xf>
    <xf numFmtId="0" fontId="64" fillId="3" borderId="6" xfId="2" applyFont="1" applyFill="1" applyBorder="1" applyAlignment="1">
      <alignment horizontal="center" vertical="top" wrapText="1"/>
    </xf>
    <xf numFmtId="0" fontId="64" fillId="3" borderId="7" xfId="2" applyFont="1" applyFill="1" applyBorder="1" applyAlignment="1">
      <alignment horizontal="center" vertical="top" wrapText="1"/>
    </xf>
    <xf numFmtId="0" fontId="64" fillId="3" borderId="8" xfId="2" applyFont="1" applyFill="1" applyBorder="1" applyAlignment="1">
      <alignment horizontal="center" vertical="top" wrapText="1"/>
    </xf>
    <xf numFmtId="0" fontId="64" fillId="3" borderId="9" xfId="2" applyFont="1" applyFill="1" applyBorder="1" applyAlignment="1">
      <alignment horizontal="center" vertical="top" wrapText="1"/>
    </xf>
    <xf numFmtId="0" fontId="2" fillId="4" borderId="14" xfId="2" applyFill="1" applyBorder="1" applyAlignment="1">
      <alignment horizontal="center"/>
    </xf>
    <xf numFmtId="0" fontId="2" fillId="4" borderId="15" xfId="2" applyFill="1" applyBorder="1" applyAlignment="1">
      <alignment horizontal="center"/>
    </xf>
    <xf numFmtId="0" fontId="2" fillId="4" borderId="115" xfId="2" applyFill="1" applyBorder="1" applyAlignment="1">
      <alignment horizontal="center"/>
    </xf>
    <xf numFmtId="0" fontId="2" fillId="4" borderId="116" xfId="2" applyFill="1" applyBorder="1" applyAlignment="1">
      <alignment horizontal="center"/>
    </xf>
    <xf numFmtId="0" fontId="2" fillId="3" borderId="117" xfId="2" applyFill="1" applyBorder="1" applyAlignment="1">
      <alignment horizontal="center"/>
    </xf>
    <xf numFmtId="0" fontId="2" fillId="3" borderId="109" xfId="2" applyFill="1" applyBorder="1" applyAlignment="1">
      <alignment horizontal="center" vertical="center" wrapText="1"/>
    </xf>
    <xf numFmtId="0" fontId="2" fillId="3" borderId="110" xfId="2" applyFill="1" applyBorder="1" applyAlignment="1">
      <alignment horizontal="center" vertical="center" wrapText="1"/>
    </xf>
    <xf numFmtId="0" fontId="71" fillId="4" borderId="113" xfId="2" applyFont="1" applyFill="1" applyBorder="1" applyAlignment="1">
      <alignment horizontal="center" vertical="center"/>
    </xf>
    <xf numFmtId="0" fontId="6" fillId="4" borderId="114" xfId="2" applyFont="1" applyFill="1" applyBorder="1" applyAlignment="1">
      <alignment horizontal="center" vertical="center"/>
    </xf>
    <xf numFmtId="0" fontId="2" fillId="3" borderId="10" xfId="3" applyFont="1" applyFill="1" applyBorder="1" applyAlignment="1">
      <alignment horizontal="center" vertical="center" wrapText="1"/>
    </xf>
    <xf numFmtId="0" fontId="2" fillId="3" borderId="11" xfId="3" applyFont="1" applyFill="1" applyBorder="1" applyAlignment="1">
      <alignment horizontal="center" vertical="center" wrapText="1"/>
    </xf>
    <xf numFmtId="0" fontId="71" fillId="4" borderId="111" xfId="2" applyFont="1" applyFill="1" applyBorder="1" applyAlignment="1">
      <alignment horizontal="center" vertical="center"/>
    </xf>
    <xf numFmtId="0" fontId="6" fillId="4" borderId="112" xfId="2" applyFont="1" applyFill="1" applyBorder="1" applyAlignment="1">
      <alignment horizontal="center" vertical="center"/>
    </xf>
    <xf numFmtId="0" fontId="2" fillId="5" borderId="109" xfId="2" applyFill="1" applyBorder="1" applyAlignment="1">
      <alignment horizontal="center" vertical="center" wrapText="1"/>
    </xf>
    <xf numFmtId="0" fontId="2" fillId="5" borderId="110" xfId="2" applyFill="1" applyBorder="1" applyAlignment="1">
      <alignment horizontal="center" vertical="center" wrapText="1"/>
    </xf>
    <xf numFmtId="0" fontId="2" fillId="3" borderId="0" xfId="3" applyFont="1" applyFill="1" applyAlignment="1">
      <alignment horizontal="center" vertical="center" wrapText="1"/>
    </xf>
    <xf numFmtId="0" fontId="23" fillId="3" borderId="0" xfId="3" applyFont="1" applyFill="1" applyAlignment="1">
      <alignment horizontal="center" vertical="center" wrapText="1"/>
    </xf>
    <xf numFmtId="0" fontId="20" fillId="3" borderId="0" xfId="3" applyFont="1" applyFill="1" applyAlignment="1">
      <alignment horizontal="center" vertical="center" wrapText="1"/>
    </xf>
    <xf numFmtId="0" fontId="21" fillId="3" borderId="0" xfId="3" applyFont="1" applyFill="1" applyAlignment="1">
      <alignment horizontal="center" vertical="center" wrapText="1"/>
    </xf>
    <xf numFmtId="0" fontId="24" fillId="3" borderId="0" xfId="3" applyFont="1" applyFill="1" applyAlignment="1">
      <alignment horizontal="center" vertical="center" wrapText="1"/>
    </xf>
    <xf numFmtId="0" fontId="25" fillId="3" borderId="0" xfId="3" applyFont="1" applyFill="1" applyAlignment="1">
      <alignment horizontal="center" vertical="center" wrapText="1"/>
    </xf>
    <xf numFmtId="0" fontId="76" fillId="34" borderId="119" xfId="18">
      <alignment horizontal="center" vertical="center"/>
      <protection hidden="1"/>
    </xf>
    <xf numFmtId="0" fontId="13" fillId="3" borderId="0" xfId="3" applyFont="1" applyFill="1" applyAlignment="1">
      <alignment horizontal="center" vertical="center"/>
    </xf>
    <xf numFmtId="0" fontId="74" fillId="32" borderId="36" xfId="16" applyAlignment="1">
      <alignment horizontal="center" vertical="center"/>
      <protection hidden="1"/>
    </xf>
    <xf numFmtId="0" fontId="15" fillId="3" borderId="0" xfId="3" applyFont="1" applyFill="1" applyAlignment="1">
      <alignment horizontal="center" vertical="center" wrapText="1"/>
    </xf>
    <xf numFmtId="0" fontId="73" fillId="31" borderId="0" xfId="15" applyAlignment="1">
      <alignment horizontal="center" vertical="center"/>
      <protection hidden="1"/>
    </xf>
    <xf numFmtId="0" fontId="90" fillId="35" borderId="36" xfId="19">
      <alignment horizontal="center" vertical="center"/>
      <protection hidden="1"/>
    </xf>
    <xf numFmtId="0" fontId="17" fillId="3" borderId="0" xfId="3" applyFont="1" applyFill="1" applyAlignment="1">
      <alignment horizontal="center" vertical="center" wrapText="1"/>
    </xf>
    <xf numFmtId="166" fontId="2" fillId="29" borderId="0" xfId="2" applyNumberFormat="1" applyFill="1" applyAlignment="1" applyProtection="1">
      <alignment horizontal="center"/>
      <protection hidden="1"/>
    </xf>
    <xf numFmtId="166" fontId="2" fillId="29" borderId="38" xfId="2" applyNumberFormat="1" applyFill="1" applyBorder="1" applyAlignment="1" applyProtection="1">
      <alignment horizontal="center"/>
      <protection hidden="1"/>
    </xf>
    <xf numFmtId="166" fontId="2" fillId="29" borderId="118" xfId="2" applyNumberFormat="1" applyFill="1" applyBorder="1" applyAlignment="1" applyProtection="1">
      <alignment horizontal="center"/>
      <protection hidden="1"/>
    </xf>
    <xf numFmtId="166" fontId="2" fillId="29" borderId="39" xfId="2" applyNumberFormat="1" applyFill="1" applyBorder="1" applyAlignment="1" applyProtection="1">
      <alignment horizontal="center"/>
      <protection hidden="1"/>
    </xf>
    <xf numFmtId="165" fontId="28" fillId="11" borderId="20" xfId="3" applyNumberFormat="1" applyFont="1" applyFill="1" applyBorder="1" applyAlignment="1" applyProtection="1">
      <alignment horizontal="center" vertical="center"/>
      <protection hidden="1"/>
    </xf>
    <xf numFmtId="165" fontId="28" fillId="11" borderId="21" xfId="3" applyNumberFormat="1" applyFont="1" applyFill="1" applyBorder="1" applyAlignment="1" applyProtection="1">
      <alignment horizontal="center" vertical="center"/>
      <protection hidden="1"/>
    </xf>
    <xf numFmtId="165" fontId="9" fillId="12" borderId="19" xfId="3" applyNumberFormat="1" applyFont="1" applyFill="1" applyBorder="1" applyAlignment="1" applyProtection="1">
      <alignment horizontal="center" vertical="center"/>
      <protection hidden="1"/>
    </xf>
    <xf numFmtId="165" fontId="9" fillId="12" borderId="21" xfId="3" applyNumberFormat="1" applyFont="1" applyFill="1" applyBorder="1" applyAlignment="1" applyProtection="1">
      <alignment horizontal="center" vertical="center"/>
      <protection hidden="1"/>
    </xf>
    <xf numFmtId="165" fontId="9" fillId="13" borderId="19" xfId="3" applyNumberFormat="1" applyFont="1" applyFill="1" applyBorder="1" applyAlignment="1" applyProtection="1">
      <alignment horizontal="center" vertical="center"/>
      <protection hidden="1"/>
    </xf>
    <xf numFmtId="165" fontId="9" fillId="13" borderId="21" xfId="3" applyNumberFormat="1" applyFont="1" applyFill="1" applyBorder="1" applyAlignment="1" applyProtection="1">
      <alignment horizontal="center" vertical="center"/>
      <protection hidden="1"/>
    </xf>
    <xf numFmtId="165" fontId="9" fillId="14" borderId="19" xfId="3" applyNumberFormat="1" applyFont="1" applyFill="1" applyBorder="1" applyAlignment="1" applyProtection="1">
      <alignment horizontal="center" vertical="center"/>
      <protection hidden="1"/>
    </xf>
    <xf numFmtId="165" fontId="9" fillId="14" borderId="20" xfId="3" applyNumberFormat="1" applyFont="1" applyFill="1" applyBorder="1" applyAlignment="1" applyProtection="1">
      <alignment horizontal="center" vertical="center"/>
      <protection hidden="1"/>
    </xf>
    <xf numFmtId="165" fontId="9" fillId="15" borderId="19" xfId="3" applyNumberFormat="1" applyFont="1" applyFill="1" applyBorder="1" applyAlignment="1" applyProtection="1">
      <alignment horizontal="center" vertical="center"/>
      <protection hidden="1"/>
    </xf>
    <xf numFmtId="165" fontId="9" fillId="15" borderId="21" xfId="3" applyNumberFormat="1" applyFont="1" applyFill="1" applyBorder="1" applyAlignment="1" applyProtection="1">
      <alignment horizontal="center" vertical="center"/>
      <protection hidden="1"/>
    </xf>
    <xf numFmtId="3" fontId="31" fillId="29" borderId="0" xfId="2" applyNumberFormat="1" applyFont="1" applyFill="1" applyAlignment="1" applyProtection="1">
      <alignment horizontal="center" wrapText="1"/>
      <protection hidden="1"/>
    </xf>
    <xf numFmtId="3" fontId="32" fillId="29" borderId="0" xfId="2" applyNumberFormat="1" applyFont="1" applyFill="1" applyAlignment="1" applyProtection="1">
      <alignment horizontal="center"/>
      <protection hidden="1"/>
    </xf>
    <xf numFmtId="3" fontId="32" fillId="29" borderId="6" xfId="2" applyNumberFormat="1" applyFont="1" applyFill="1" applyBorder="1" applyAlignment="1" applyProtection="1">
      <alignment horizontal="center"/>
      <protection hidden="1"/>
    </xf>
    <xf numFmtId="3" fontId="4" fillId="29" borderId="0" xfId="2" applyNumberFormat="1" applyFont="1" applyFill="1" applyAlignment="1" applyProtection="1">
      <alignment horizontal="center"/>
      <protection hidden="1"/>
    </xf>
    <xf numFmtId="3" fontId="4" fillId="29" borderId="6" xfId="2" applyNumberFormat="1" applyFont="1" applyFill="1" applyBorder="1" applyAlignment="1" applyProtection="1">
      <alignment horizontal="center"/>
      <protection hidden="1"/>
    </xf>
    <xf numFmtId="0" fontId="14" fillId="29" borderId="0" xfId="2" applyFont="1" applyFill="1" applyAlignment="1" applyProtection="1">
      <alignment horizontal="center" vertical="center"/>
      <protection hidden="1"/>
    </xf>
    <xf numFmtId="0" fontId="14" fillId="29" borderId="6" xfId="2" applyFont="1" applyFill="1" applyBorder="1" applyAlignment="1" applyProtection="1">
      <alignment horizontal="center" vertical="center"/>
      <protection hidden="1"/>
    </xf>
    <xf numFmtId="0" fontId="28" fillId="29" borderId="25" xfId="3" applyFont="1" applyFill="1" applyBorder="1" applyAlignment="1">
      <alignment horizontal="center" vertical="center"/>
    </xf>
    <xf numFmtId="0" fontId="28" fillId="29" borderId="26" xfId="3" applyFont="1" applyFill="1" applyBorder="1" applyAlignment="1">
      <alignment horizontal="center" vertical="center"/>
    </xf>
    <xf numFmtId="0" fontId="28" fillId="29" borderId="38" xfId="3" applyFont="1" applyFill="1" applyBorder="1" applyAlignment="1">
      <alignment horizontal="center" vertical="center"/>
    </xf>
    <xf numFmtId="0" fontId="28" fillId="29" borderId="37" xfId="3" applyFont="1" applyFill="1" applyBorder="1" applyAlignment="1">
      <alignment horizontal="center" vertical="center"/>
    </xf>
    <xf numFmtId="0" fontId="29" fillId="7" borderId="19" xfId="2" applyFont="1" applyFill="1" applyBorder="1" applyAlignment="1" applyProtection="1">
      <alignment horizontal="center" vertical="center"/>
      <protection hidden="1"/>
    </xf>
    <xf numFmtId="0" fontId="29" fillId="7" borderId="20" xfId="2" applyFont="1" applyFill="1" applyBorder="1" applyAlignment="1" applyProtection="1">
      <alignment horizontal="center" vertical="center"/>
      <protection hidden="1"/>
    </xf>
    <xf numFmtId="0" fontId="29" fillId="7" borderId="21" xfId="2" applyFont="1" applyFill="1" applyBorder="1" applyAlignment="1" applyProtection="1">
      <alignment horizontal="center" vertical="center"/>
      <protection hidden="1"/>
    </xf>
    <xf numFmtId="0" fontId="14" fillId="9" borderId="19" xfId="2" applyFont="1" applyFill="1" applyBorder="1" applyAlignment="1" applyProtection="1">
      <alignment horizontal="center" vertical="center"/>
      <protection hidden="1"/>
    </xf>
    <xf numFmtId="0" fontId="14" fillId="9" borderId="20" xfId="2" applyFont="1" applyFill="1" applyBorder="1" applyAlignment="1" applyProtection="1">
      <alignment horizontal="center" vertical="center"/>
      <protection hidden="1"/>
    </xf>
    <xf numFmtId="0" fontId="14" fillId="9" borderId="21" xfId="2" applyFont="1" applyFill="1" applyBorder="1" applyAlignment="1" applyProtection="1">
      <alignment horizontal="center" vertical="center"/>
      <protection hidden="1"/>
    </xf>
    <xf numFmtId="0" fontId="27" fillId="26" borderId="19" xfId="13" applyFont="1" applyBorder="1" applyAlignment="1" applyProtection="1">
      <alignment horizontal="center" vertical="center"/>
      <protection hidden="1"/>
    </xf>
    <xf numFmtId="0" fontId="27" fillId="26" borderId="21" xfId="13" applyFont="1" applyBorder="1" applyAlignment="1" applyProtection="1">
      <alignment horizontal="center" vertical="center"/>
      <protection hidden="1"/>
    </xf>
    <xf numFmtId="0" fontId="14" fillId="0" borderId="19" xfId="2" applyFont="1" applyBorder="1" applyAlignment="1" applyProtection="1">
      <alignment horizontal="center"/>
      <protection hidden="1"/>
    </xf>
    <xf numFmtId="0" fontId="14" fillId="0" borderId="31" xfId="2" applyFont="1" applyBorder="1" applyAlignment="1" applyProtection="1">
      <alignment horizontal="center"/>
      <protection hidden="1"/>
    </xf>
    <xf numFmtId="0" fontId="4" fillId="0" borderId="33" xfId="2" applyFont="1" applyBorder="1" applyAlignment="1" applyProtection="1">
      <alignment horizontal="center"/>
      <protection hidden="1"/>
    </xf>
    <xf numFmtId="0" fontId="4" fillId="0" borderId="34" xfId="2" applyFont="1" applyBorder="1" applyAlignment="1" applyProtection="1">
      <alignment horizontal="center"/>
      <protection hidden="1"/>
    </xf>
    <xf numFmtId="0" fontId="5" fillId="17" borderId="48" xfId="3" applyFont="1" applyFill="1" applyBorder="1" applyAlignment="1" applyProtection="1">
      <alignment horizontal="center" vertical="center"/>
      <protection hidden="1"/>
    </xf>
    <xf numFmtId="0" fontId="5" fillId="17" borderId="47" xfId="3" applyFont="1" applyFill="1" applyBorder="1" applyAlignment="1" applyProtection="1">
      <alignment horizontal="center" vertical="center"/>
      <protection hidden="1"/>
    </xf>
    <xf numFmtId="0" fontId="5" fillId="17" borderId="41" xfId="3" applyFont="1" applyFill="1" applyBorder="1" applyAlignment="1" applyProtection="1">
      <alignment horizontal="center" vertical="center"/>
      <protection hidden="1"/>
    </xf>
    <xf numFmtId="0" fontId="26" fillId="6" borderId="20" xfId="3" applyFont="1" applyFill="1" applyBorder="1" applyAlignment="1" applyProtection="1">
      <alignment horizontal="center" vertical="center"/>
      <protection hidden="1"/>
    </xf>
    <xf numFmtId="0" fontId="26" fillId="6" borderId="31" xfId="3" applyFont="1" applyFill="1" applyBorder="1" applyAlignment="1" applyProtection="1">
      <alignment horizontal="center" vertical="center"/>
      <protection hidden="1"/>
    </xf>
    <xf numFmtId="3" fontId="26" fillId="6" borderId="20" xfId="3" applyNumberFormat="1" applyFont="1" applyFill="1" applyBorder="1" applyAlignment="1" applyProtection="1">
      <alignment horizontal="center" vertical="center"/>
      <protection hidden="1"/>
    </xf>
    <xf numFmtId="3" fontId="26" fillId="6" borderId="31" xfId="3" applyNumberFormat="1" applyFont="1" applyFill="1" applyBorder="1" applyAlignment="1" applyProtection="1">
      <alignment horizontal="center" vertical="center"/>
      <protection hidden="1"/>
    </xf>
    <xf numFmtId="0" fontId="72" fillId="32" borderId="36" xfId="16" applyFont="1" applyAlignment="1">
      <alignment horizontal="center" vertical="center"/>
      <protection hidden="1"/>
    </xf>
    <xf numFmtId="0" fontId="61" fillId="27" borderId="19" xfId="14" applyBorder="1" applyAlignment="1" applyProtection="1">
      <alignment horizontal="center" vertical="center"/>
      <protection hidden="1"/>
    </xf>
    <xf numFmtId="0" fontId="61" fillId="27" borderId="20" xfId="14" applyBorder="1" applyAlignment="1" applyProtection="1">
      <alignment horizontal="center" vertical="center"/>
      <protection hidden="1"/>
    </xf>
    <xf numFmtId="0" fontId="61" fillId="27" borderId="21" xfId="14" applyBorder="1" applyAlignment="1" applyProtection="1">
      <alignment horizontal="center" vertical="center"/>
      <protection hidden="1"/>
    </xf>
    <xf numFmtId="0" fontId="4" fillId="3" borderId="8" xfId="3" applyFont="1" applyFill="1" applyBorder="1" applyAlignment="1" applyProtection="1">
      <alignment horizontal="center" vertical="center"/>
      <protection hidden="1"/>
    </xf>
    <xf numFmtId="0" fontId="74" fillId="32" borderId="36" xfId="16" applyAlignment="1">
      <alignment horizontal="center" vertical="center" wrapText="1"/>
      <protection hidden="1"/>
    </xf>
    <xf numFmtId="0" fontId="5" fillId="6" borderId="46" xfId="3" applyFont="1" applyFill="1" applyBorder="1" applyAlignment="1" applyProtection="1">
      <alignment horizontal="center" vertical="center" wrapText="1"/>
      <protection hidden="1"/>
    </xf>
    <xf numFmtId="0" fontId="5" fillId="6" borderId="47" xfId="3" applyFont="1" applyFill="1" applyBorder="1" applyAlignment="1" applyProtection="1">
      <alignment horizontal="center" vertical="center" wrapText="1"/>
      <protection hidden="1"/>
    </xf>
    <xf numFmtId="0" fontId="5" fillId="6" borderId="41" xfId="3" applyFont="1" applyFill="1" applyBorder="1" applyAlignment="1" applyProtection="1">
      <alignment horizontal="center" vertical="center" wrapText="1"/>
      <protection hidden="1"/>
    </xf>
    <xf numFmtId="0" fontId="14" fillId="3" borderId="0" xfId="3" applyFont="1" applyFill="1" applyAlignment="1" applyProtection="1">
      <alignment horizontal="center" vertical="center"/>
      <protection hidden="1"/>
    </xf>
    <xf numFmtId="165" fontId="77" fillId="36" borderId="19" xfId="20" applyBorder="1">
      <alignment horizontal="center" vertical="center"/>
      <protection hidden="1"/>
    </xf>
    <xf numFmtId="165" fontId="77" fillId="36" borderId="18" xfId="20">
      <alignment horizontal="center" vertical="center"/>
      <protection hidden="1"/>
    </xf>
    <xf numFmtId="0" fontId="4" fillId="3" borderId="8" xfId="3" applyFont="1" applyFill="1" applyBorder="1" applyAlignment="1" applyProtection="1">
      <alignment horizontal="center"/>
      <protection locked="0" hidden="1"/>
    </xf>
    <xf numFmtId="0" fontId="7" fillId="6" borderId="22" xfId="3" applyFill="1" applyBorder="1" applyAlignment="1" applyProtection="1">
      <alignment horizontal="center"/>
      <protection hidden="1"/>
    </xf>
    <xf numFmtId="0" fontId="7" fillId="6" borderId="23" xfId="3" applyFill="1" applyBorder="1" applyAlignment="1" applyProtection="1">
      <alignment horizontal="center"/>
      <protection hidden="1"/>
    </xf>
    <xf numFmtId="0" fontId="7" fillId="6" borderId="24" xfId="3" applyFill="1" applyBorder="1" applyAlignment="1" applyProtection="1">
      <alignment horizontal="center"/>
      <protection hidden="1"/>
    </xf>
    <xf numFmtId="165" fontId="76" fillId="34" borderId="119" xfId="18" applyNumberFormat="1">
      <alignment horizontal="center" vertical="center"/>
      <protection hidden="1"/>
    </xf>
    <xf numFmtId="165" fontId="7" fillId="10" borderId="20" xfId="3" applyNumberFormat="1" applyFill="1" applyBorder="1" applyAlignment="1" applyProtection="1">
      <alignment horizontal="center"/>
      <protection hidden="1"/>
    </xf>
    <xf numFmtId="0" fontId="7" fillId="10" borderId="20" xfId="3" applyFill="1" applyBorder="1" applyAlignment="1" applyProtection="1">
      <alignment horizontal="center"/>
      <protection hidden="1"/>
    </xf>
    <xf numFmtId="0" fontId="7" fillId="10" borderId="21" xfId="3" applyFill="1" applyBorder="1" applyAlignment="1" applyProtection="1">
      <alignment horizontal="center"/>
      <protection hidden="1"/>
    </xf>
    <xf numFmtId="9" fontId="76" fillId="34" borderId="121" xfId="18" applyNumberFormat="1" applyBorder="1">
      <alignment horizontal="center" vertical="center"/>
      <protection hidden="1"/>
    </xf>
    <xf numFmtId="9" fontId="76" fillId="34" borderId="120" xfId="18" applyNumberFormat="1" applyBorder="1">
      <alignment horizontal="center" vertical="center"/>
      <protection hidden="1"/>
    </xf>
    <xf numFmtId="0" fontId="4" fillId="3" borderId="3" xfId="3" applyFont="1" applyFill="1" applyBorder="1" applyAlignment="1" applyProtection="1">
      <alignment horizontal="left" vertical="center"/>
      <protection hidden="1"/>
    </xf>
    <xf numFmtId="0" fontId="4" fillId="3" borderId="0" xfId="3" applyFont="1" applyFill="1" applyAlignment="1" applyProtection="1">
      <alignment horizontal="left" vertical="center"/>
      <protection hidden="1"/>
    </xf>
    <xf numFmtId="171" fontId="7" fillId="3" borderId="3" xfId="3" applyNumberFormat="1" applyFill="1" applyBorder="1" applyAlignment="1" applyProtection="1">
      <alignment horizontal="center"/>
      <protection hidden="1"/>
    </xf>
    <xf numFmtId="171" fontId="7" fillId="3" borderId="4" xfId="3" applyNumberFormat="1" applyFill="1" applyBorder="1" applyAlignment="1" applyProtection="1">
      <alignment horizontal="center"/>
      <protection hidden="1"/>
    </xf>
    <xf numFmtId="0" fontId="90" fillId="35" borderId="36" xfId="19" applyAlignment="1">
      <alignment horizontal="center" vertical="center" wrapText="1"/>
      <protection hidden="1"/>
    </xf>
    <xf numFmtId="165" fontId="2" fillId="3" borderId="52" xfId="3" applyNumberFormat="1" applyFont="1" applyFill="1" applyBorder="1" applyAlignment="1" applyProtection="1">
      <alignment horizontal="center" vertical="center"/>
      <protection hidden="1"/>
    </xf>
    <xf numFmtId="165" fontId="2" fillId="3" borderId="53" xfId="3" applyNumberFormat="1" applyFont="1" applyFill="1" applyBorder="1" applyAlignment="1" applyProtection="1">
      <alignment horizontal="center" vertical="center"/>
      <protection hidden="1"/>
    </xf>
    <xf numFmtId="0" fontId="38" fillId="5" borderId="20" xfId="7" applyFont="1" applyFill="1" applyBorder="1" applyAlignment="1" applyProtection="1">
      <alignment horizontal="center" vertical="center"/>
      <protection locked="0" hidden="1"/>
    </xf>
    <xf numFmtId="0" fontId="38" fillId="5" borderId="21" xfId="7" applyFont="1" applyFill="1" applyBorder="1" applyAlignment="1" applyProtection="1">
      <alignment horizontal="center" vertical="center"/>
      <protection locked="0" hidden="1"/>
    </xf>
    <xf numFmtId="0" fontId="38" fillId="3" borderId="0" xfId="7" applyFont="1" applyFill="1" applyBorder="1" applyAlignment="1" applyProtection="1">
      <alignment horizontal="center" vertical="center"/>
      <protection hidden="1"/>
    </xf>
    <xf numFmtId="0" fontId="74" fillId="32" borderId="36" xfId="16">
      <alignment horizontal="center" vertical="center" shrinkToFit="1"/>
      <protection hidden="1"/>
    </xf>
    <xf numFmtId="0" fontId="75" fillId="33" borderId="36" xfId="17" applyBorder="1">
      <alignment horizontal="center" vertical="center"/>
      <protection hidden="1"/>
    </xf>
    <xf numFmtId="0" fontId="80" fillId="32" borderId="36" xfId="16" applyFont="1">
      <alignment horizontal="center" vertical="center" shrinkToFit="1"/>
      <protection hidden="1"/>
    </xf>
    <xf numFmtId="0" fontId="44" fillId="3" borderId="0" xfId="2" applyFont="1" applyFill="1" applyAlignment="1" applyProtection="1">
      <alignment horizontal="center"/>
      <protection hidden="1"/>
    </xf>
    <xf numFmtId="0" fontId="75" fillId="33" borderId="0" xfId="17">
      <alignment horizontal="center" vertical="center"/>
      <protection hidden="1"/>
    </xf>
    <xf numFmtId="165" fontId="89" fillId="36" borderId="18" xfId="20" applyFont="1">
      <alignment horizontal="center" vertical="center"/>
      <protection hidden="1"/>
    </xf>
    <xf numFmtId="0" fontId="91" fillId="35" borderId="36" xfId="19" applyFont="1">
      <alignment horizontal="center" vertical="center"/>
      <protection hidden="1"/>
    </xf>
    <xf numFmtId="0" fontId="82" fillId="33" borderId="36" xfId="17" applyFont="1" applyBorder="1">
      <alignment horizontal="center" vertical="center"/>
      <protection hidden="1"/>
    </xf>
    <xf numFmtId="165" fontId="86" fillId="36" borderId="18" xfId="20" applyFont="1">
      <alignment horizontal="center" vertical="center"/>
      <protection hidden="1"/>
    </xf>
    <xf numFmtId="0" fontId="88" fillId="31" borderId="0" xfId="15" applyFont="1">
      <alignment horizontal="center" vertical="center" wrapText="1"/>
      <protection hidden="1"/>
    </xf>
    <xf numFmtId="165" fontId="85" fillId="36" borderId="18" xfId="20" applyFont="1" applyAlignment="1">
      <alignment horizontal="center" vertical="center" wrapText="1"/>
      <protection hidden="1"/>
    </xf>
    <xf numFmtId="0" fontId="73" fillId="32" borderId="36" xfId="16" applyFont="1">
      <alignment horizontal="center" vertical="center" shrinkToFit="1"/>
      <protection hidden="1"/>
    </xf>
    <xf numFmtId="0" fontId="83" fillId="33" borderId="0" xfId="17" applyFont="1">
      <alignment horizontal="center" vertical="center"/>
      <protection hidden="1"/>
    </xf>
    <xf numFmtId="0" fontId="33" fillId="28" borderId="8" xfId="2" applyFont="1" applyFill="1" applyBorder="1" applyAlignment="1" applyProtection="1">
      <alignment horizontal="center" vertical="center"/>
      <protection hidden="1"/>
    </xf>
    <xf numFmtId="0" fontId="5" fillId="17" borderId="81" xfId="2" applyFont="1" applyFill="1" applyBorder="1" applyAlignment="1" applyProtection="1">
      <alignment horizontal="center" vertical="center" wrapText="1"/>
      <protection hidden="1"/>
    </xf>
    <xf numFmtId="0" fontId="5" fillId="17" borderId="35" xfId="2" applyFont="1" applyFill="1" applyBorder="1" applyAlignment="1" applyProtection="1">
      <alignment horizontal="center" vertical="center" wrapText="1"/>
      <protection hidden="1"/>
    </xf>
    <xf numFmtId="0" fontId="90" fillId="35" borderId="49" xfId="19" applyBorder="1">
      <alignment horizontal="center" vertical="center"/>
      <protection hidden="1"/>
    </xf>
    <xf numFmtId="0" fontId="90" fillId="35" borderId="41" xfId="19" applyBorder="1">
      <alignment horizontal="center" vertical="center"/>
      <protection hidden="1"/>
    </xf>
    <xf numFmtId="0" fontId="47" fillId="3" borderId="3" xfId="2" applyFont="1" applyFill="1" applyBorder="1" applyAlignment="1" applyProtection="1">
      <alignment horizontal="center"/>
      <protection hidden="1"/>
    </xf>
    <xf numFmtId="165" fontId="85" fillId="36" borderId="18" xfId="20" applyFont="1">
      <alignment horizontal="center" vertical="center"/>
      <protection hidden="1"/>
    </xf>
    <xf numFmtId="0" fontId="44" fillId="3" borderId="5" xfId="2" applyFont="1" applyFill="1" applyBorder="1" applyAlignment="1" applyProtection="1">
      <alignment horizontal="left"/>
      <protection hidden="1"/>
    </xf>
    <xf numFmtId="0" fontId="44" fillId="3" borderId="0" xfId="2" applyFont="1" applyFill="1" applyAlignment="1" applyProtection="1">
      <alignment horizontal="left"/>
      <protection hidden="1"/>
    </xf>
    <xf numFmtId="3" fontId="26" fillId="6" borderId="19" xfId="2" applyNumberFormat="1" applyFont="1" applyFill="1" applyBorder="1" applyAlignment="1" applyProtection="1">
      <alignment horizontal="center"/>
      <protection hidden="1"/>
    </xf>
    <xf numFmtId="3" fontId="26" fillId="6" borderId="20" xfId="2" applyNumberFormat="1" applyFont="1" applyFill="1" applyBorder="1" applyAlignment="1" applyProtection="1">
      <alignment horizontal="center"/>
      <protection hidden="1"/>
    </xf>
    <xf numFmtId="3" fontId="26" fillId="6" borderId="21" xfId="2" applyNumberFormat="1" applyFont="1" applyFill="1" applyBorder="1" applyAlignment="1" applyProtection="1">
      <alignment horizontal="center"/>
      <protection hidden="1"/>
    </xf>
    <xf numFmtId="0" fontId="78" fillId="35" borderId="36" xfId="19" applyFont="1">
      <alignment horizontal="center" vertical="center"/>
      <protection hidden="1"/>
    </xf>
    <xf numFmtId="0" fontId="2" fillId="3" borderId="0" xfId="2" applyFill="1" applyAlignment="1" applyProtection="1">
      <alignment horizontal="center"/>
      <protection hidden="1"/>
    </xf>
    <xf numFmtId="0" fontId="92" fillId="35" borderId="36" xfId="19" applyFont="1">
      <alignment horizontal="center" vertical="center"/>
      <protection hidden="1"/>
    </xf>
    <xf numFmtId="0" fontId="78" fillId="35" borderId="49" xfId="19" applyFont="1" applyBorder="1">
      <alignment horizontal="center" vertical="center"/>
      <protection hidden="1"/>
    </xf>
    <xf numFmtId="0" fontId="78" fillId="35" borderId="41" xfId="19" applyFont="1" applyBorder="1">
      <alignment horizontal="center" vertical="center"/>
      <protection hidden="1"/>
    </xf>
    <xf numFmtId="0" fontId="78" fillId="35" borderId="46" xfId="19" applyFont="1" applyBorder="1">
      <alignment horizontal="center" vertical="center"/>
      <protection hidden="1"/>
    </xf>
    <xf numFmtId="0" fontId="78" fillId="35" borderId="47" xfId="19" applyFont="1" applyBorder="1">
      <alignment horizontal="center" vertical="center"/>
      <protection hidden="1"/>
    </xf>
    <xf numFmtId="0" fontId="90" fillId="35" borderId="46" xfId="19" applyBorder="1">
      <alignment horizontal="center" vertical="center"/>
      <protection hidden="1"/>
    </xf>
    <xf numFmtId="0" fontId="90" fillId="35" borderId="47" xfId="19" applyBorder="1">
      <alignment horizontal="center" vertical="center"/>
      <protection hidden="1"/>
    </xf>
    <xf numFmtId="0" fontId="44" fillId="3" borderId="7" xfId="2" applyFont="1" applyFill="1" applyBorder="1" applyAlignment="1" applyProtection="1">
      <alignment horizontal="center" vertical="center"/>
      <protection hidden="1"/>
    </xf>
    <xf numFmtId="0" fontId="44" fillId="3" borderId="8" xfId="2" applyFont="1" applyFill="1" applyBorder="1" applyAlignment="1" applyProtection="1">
      <alignment horizontal="center" vertical="center"/>
      <protection hidden="1"/>
    </xf>
    <xf numFmtId="0" fontId="44" fillId="3" borderId="9" xfId="2" applyFont="1" applyFill="1" applyBorder="1" applyAlignment="1" applyProtection="1">
      <alignment horizontal="center" vertical="center"/>
      <protection hidden="1"/>
    </xf>
    <xf numFmtId="0" fontId="82" fillId="33" borderId="0" xfId="17" applyFont="1">
      <alignment horizontal="center" vertical="center"/>
      <protection hidden="1"/>
    </xf>
    <xf numFmtId="0" fontId="90" fillId="35" borderId="36" xfId="19" applyAlignment="1">
      <alignment horizontal="right" vertical="center"/>
      <protection hidden="1"/>
    </xf>
    <xf numFmtId="0" fontId="80" fillId="31" borderId="0" xfId="15" applyFont="1">
      <alignment horizontal="center" vertical="center" wrapText="1"/>
      <protection hidden="1"/>
    </xf>
    <xf numFmtId="0" fontId="80" fillId="31" borderId="36" xfId="15" applyFont="1" applyBorder="1">
      <alignment horizontal="center" vertical="center" wrapText="1"/>
      <protection hidden="1"/>
    </xf>
    <xf numFmtId="164" fontId="77" fillId="36" borderId="18" xfId="20" applyNumberFormat="1">
      <alignment horizontal="center" vertical="center"/>
      <protection hidden="1"/>
    </xf>
    <xf numFmtId="0" fontId="22" fillId="3" borderId="0" xfId="3" applyFont="1" applyFill="1" applyAlignment="1" applyProtection="1">
      <alignment horizontal="left" vertical="top" wrapText="1"/>
      <protection hidden="1"/>
    </xf>
    <xf numFmtId="0" fontId="6" fillId="6" borderId="19" xfId="3" applyFont="1" applyFill="1" applyBorder="1" applyAlignment="1" applyProtection="1">
      <alignment horizontal="center" vertical="center"/>
      <protection hidden="1"/>
    </xf>
    <xf numFmtId="0" fontId="6" fillId="6" borderId="3" xfId="3" applyFont="1" applyFill="1" applyBorder="1" applyAlignment="1" applyProtection="1">
      <alignment horizontal="center" vertical="center"/>
      <protection hidden="1"/>
    </xf>
    <xf numFmtId="0" fontId="6" fillId="6" borderId="21" xfId="3" applyFont="1" applyFill="1" applyBorder="1" applyAlignment="1" applyProtection="1">
      <alignment horizontal="center" vertical="center"/>
      <protection hidden="1"/>
    </xf>
    <xf numFmtId="0" fontId="97" fillId="34" borderId="119" xfId="18" applyFont="1">
      <alignment horizontal="center" vertical="center"/>
      <protection hidden="1"/>
    </xf>
    <xf numFmtId="0" fontId="53" fillId="3" borderId="19" xfId="3" applyFont="1" applyFill="1" applyBorder="1" applyAlignment="1" applyProtection="1">
      <alignment horizontal="center" vertical="center"/>
      <protection hidden="1"/>
    </xf>
    <xf numFmtId="0" fontId="53" fillId="3" borderId="20" xfId="3" applyFont="1" applyFill="1" applyBorder="1" applyAlignment="1" applyProtection="1">
      <alignment horizontal="center" vertical="center"/>
      <protection hidden="1"/>
    </xf>
    <xf numFmtId="0" fontId="53" fillId="3" borderId="21" xfId="3" applyFont="1" applyFill="1" applyBorder="1" applyAlignment="1" applyProtection="1">
      <alignment horizontal="center" vertical="center"/>
      <protection hidden="1"/>
    </xf>
    <xf numFmtId="0" fontId="74" fillId="31" borderId="0" xfId="15" applyFont="1">
      <alignment horizontal="center" vertical="center" wrapText="1"/>
      <protection hidden="1"/>
    </xf>
    <xf numFmtId="0" fontId="23" fillId="3" borderId="0" xfId="3" applyFont="1" applyFill="1" applyAlignment="1" applyProtection="1">
      <alignment horizontal="center" vertical="center" wrapText="1"/>
      <protection hidden="1"/>
    </xf>
    <xf numFmtId="0" fontId="73" fillId="31" borderId="0" xfId="15" quotePrefix="1">
      <alignment horizontal="center" vertical="center" wrapText="1"/>
      <protection hidden="1"/>
    </xf>
    <xf numFmtId="165" fontId="77" fillId="36" borderId="18" xfId="20" applyAlignment="1">
      <alignment horizontal="center" vertical="center" wrapText="1"/>
      <protection hidden="1"/>
    </xf>
    <xf numFmtId="0" fontId="14" fillId="3" borderId="0" xfId="3" applyFont="1" applyFill="1" applyAlignment="1" applyProtection="1">
      <alignment horizontal="right" vertical="center"/>
      <protection hidden="1"/>
    </xf>
    <xf numFmtId="0" fontId="55" fillId="3" borderId="83" xfId="3" applyFont="1" applyFill="1" applyBorder="1" applyAlignment="1" applyProtection="1">
      <alignment horizontal="center" vertical="center" wrapText="1"/>
      <protection hidden="1"/>
    </xf>
    <xf numFmtId="0" fontId="55" fillId="3" borderId="84" xfId="3" applyFont="1" applyFill="1" applyBorder="1" applyAlignment="1" applyProtection="1">
      <alignment horizontal="center" vertical="center" wrapText="1"/>
      <protection hidden="1"/>
    </xf>
    <xf numFmtId="0" fontId="55" fillId="3" borderId="85" xfId="3" applyFont="1" applyFill="1" applyBorder="1" applyAlignment="1" applyProtection="1">
      <alignment horizontal="center" vertical="center" wrapText="1"/>
      <protection hidden="1"/>
    </xf>
    <xf numFmtId="0" fontId="55" fillId="3" borderId="86" xfId="3" applyFont="1" applyFill="1" applyBorder="1" applyAlignment="1" applyProtection="1">
      <alignment horizontal="center" vertical="center" wrapText="1"/>
      <protection hidden="1"/>
    </xf>
    <xf numFmtId="0" fontId="55" fillId="3" borderId="87" xfId="3" applyFont="1" applyFill="1" applyBorder="1" applyAlignment="1" applyProtection="1">
      <alignment horizontal="center" vertical="center" wrapText="1"/>
      <protection hidden="1"/>
    </xf>
    <xf numFmtId="0" fontId="55" fillId="3" borderId="88" xfId="3" applyFont="1" applyFill="1" applyBorder="1" applyAlignment="1" applyProtection="1">
      <alignment horizontal="center" vertical="center" wrapText="1"/>
      <protection hidden="1"/>
    </xf>
    <xf numFmtId="0" fontId="49" fillId="3" borderId="102" xfId="10" applyFill="1" applyBorder="1" applyAlignment="1">
      <alignment horizontal="center" vertical="center"/>
    </xf>
    <xf numFmtId="0" fontId="49" fillId="3" borderId="103" xfId="10" applyFill="1" applyBorder="1" applyAlignment="1">
      <alignment horizontal="center" vertical="center"/>
    </xf>
    <xf numFmtId="0" fontId="49" fillId="3" borderId="104" xfId="10" applyFill="1" applyBorder="1" applyAlignment="1">
      <alignment horizontal="center" vertical="center"/>
    </xf>
    <xf numFmtId="0" fontId="49" fillId="3" borderId="106" xfId="10" applyFill="1" applyBorder="1" applyAlignment="1">
      <alignment horizontal="center" vertical="center"/>
    </xf>
    <xf numFmtId="0" fontId="49" fillId="3" borderId="105" xfId="10" applyFill="1" applyBorder="1" applyAlignment="1">
      <alignment horizontal="center" vertical="center"/>
    </xf>
    <xf numFmtId="0" fontId="49" fillId="3" borderId="107" xfId="10" applyFill="1" applyBorder="1" applyAlignment="1">
      <alignment horizontal="center" vertical="center"/>
    </xf>
    <xf numFmtId="0" fontId="49" fillId="3" borderId="108" xfId="10" applyFill="1" applyBorder="1" applyAlignment="1">
      <alignment horizontal="center" vertical="center"/>
    </xf>
    <xf numFmtId="0" fontId="87" fillId="34" borderId="119" xfId="18" applyFont="1">
      <alignment horizontal="center" vertical="center"/>
      <protection hidden="1"/>
    </xf>
    <xf numFmtId="0" fontId="75" fillId="33" borderId="0" xfId="17" applyAlignment="1">
      <alignment horizontal="center" vertical="center" wrapText="1"/>
      <protection hidden="1"/>
    </xf>
    <xf numFmtId="49" fontId="7" fillId="3" borderId="19" xfId="3" applyNumberFormat="1" applyFill="1" applyBorder="1" applyAlignment="1">
      <alignment horizontal="center"/>
    </xf>
    <xf numFmtId="49" fontId="7" fillId="3" borderId="20" xfId="3" applyNumberFormat="1" applyFill="1" applyBorder="1" applyAlignment="1">
      <alignment horizontal="center"/>
    </xf>
    <xf numFmtId="49" fontId="7" fillId="3" borderId="51" xfId="3" applyNumberFormat="1" applyFill="1" applyBorder="1" applyAlignment="1">
      <alignment horizontal="center"/>
    </xf>
    <xf numFmtId="49" fontId="7" fillId="3" borderId="68" xfId="3" applyNumberFormat="1" applyFill="1" applyBorder="1" applyAlignment="1">
      <alignment horizontal="center"/>
    </xf>
    <xf numFmtId="0" fontId="7" fillId="3" borderId="46" xfId="3" applyFill="1" applyBorder="1" applyAlignment="1">
      <alignment horizontal="center"/>
    </xf>
    <xf numFmtId="0" fontId="7" fillId="3" borderId="41" xfId="3" applyFill="1" applyBorder="1" applyAlignment="1">
      <alignment horizontal="center"/>
    </xf>
    <xf numFmtId="0" fontId="7" fillId="3" borderId="62" xfId="3" applyFill="1" applyBorder="1" applyAlignment="1">
      <alignment horizontal="center"/>
    </xf>
    <xf numFmtId="0" fontId="7" fillId="3" borderId="66" xfId="3" applyFill="1" applyBorder="1" applyAlignment="1">
      <alignment horizontal="center"/>
    </xf>
    <xf numFmtId="0" fontId="4" fillId="3" borderId="19" xfId="3" applyFont="1" applyFill="1" applyBorder="1" applyAlignment="1">
      <alignment horizontal="right"/>
    </xf>
    <xf numFmtId="0" fontId="4" fillId="3" borderId="20" xfId="3" applyFont="1" applyFill="1" applyBorder="1" applyAlignment="1">
      <alignment horizontal="right"/>
    </xf>
    <xf numFmtId="0" fontId="78" fillId="35" borderId="36" xfId="19" applyFont="1" applyAlignment="1">
      <alignment horizontal="center" vertical="center" wrapText="1"/>
      <protection hidden="1"/>
    </xf>
    <xf numFmtId="0" fontId="49" fillId="3" borderId="90" xfId="10" applyFill="1" applyBorder="1" applyAlignment="1">
      <alignment horizontal="center" vertical="center"/>
    </xf>
    <xf numFmtId="0" fontId="49" fillId="3" borderId="91" xfId="10" applyFill="1" applyBorder="1" applyAlignment="1">
      <alignment horizontal="center" vertical="center"/>
    </xf>
    <xf numFmtId="0" fontId="49" fillId="3" borderId="92" xfId="10" applyFill="1" applyBorder="1" applyAlignment="1">
      <alignment horizontal="center" vertical="center"/>
    </xf>
    <xf numFmtId="0" fontId="7" fillId="3" borderId="0" xfId="3" applyFill="1" applyAlignment="1">
      <alignment horizontal="left" vertical="center"/>
    </xf>
    <xf numFmtId="0" fontId="7" fillId="3" borderId="0" xfId="3" applyFill="1" applyAlignment="1">
      <alignment horizontal="left"/>
    </xf>
    <xf numFmtId="0" fontId="2" fillId="3" borderId="0" xfId="3" applyFont="1" applyFill="1" applyAlignment="1">
      <alignment horizontal="left"/>
    </xf>
    <xf numFmtId="17" fontId="4" fillId="3" borderId="19" xfId="3" applyNumberFormat="1" applyFont="1" applyFill="1" applyBorder="1" applyAlignment="1">
      <alignment horizontal="center"/>
    </xf>
    <xf numFmtId="17" fontId="4" fillId="3" borderId="20" xfId="3" applyNumberFormat="1" applyFont="1" applyFill="1" applyBorder="1" applyAlignment="1">
      <alignment horizontal="center"/>
    </xf>
    <xf numFmtId="17" fontId="4" fillId="3" borderId="21" xfId="3" applyNumberFormat="1" applyFont="1" applyFill="1" applyBorder="1" applyAlignment="1">
      <alignment horizontal="center"/>
    </xf>
    <xf numFmtId="17" fontId="4" fillId="3" borderId="3" xfId="3" applyNumberFormat="1" applyFont="1" applyFill="1" applyBorder="1" applyAlignment="1">
      <alignment horizontal="center"/>
    </xf>
    <xf numFmtId="0" fontId="50" fillId="3" borderId="0" xfId="3" applyFont="1" applyFill="1" applyAlignment="1">
      <alignment horizontal="center" vertical="center" wrapText="1"/>
    </xf>
    <xf numFmtId="49" fontId="4" fillId="3" borderId="19" xfId="3" applyNumberFormat="1" applyFont="1" applyFill="1" applyBorder="1" applyAlignment="1">
      <alignment horizontal="center"/>
    </xf>
    <xf numFmtId="49" fontId="4" fillId="3" borderId="20" xfId="3" applyNumberFormat="1" applyFont="1" applyFill="1" applyBorder="1" applyAlignment="1">
      <alignment horizontal="center"/>
    </xf>
    <xf numFmtId="49" fontId="4" fillId="3" borderId="21" xfId="3" applyNumberFormat="1" applyFont="1" applyFill="1" applyBorder="1" applyAlignment="1">
      <alignment horizontal="center"/>
    </xf>
    <xf numFmtId="0" fontId="58" fillId="20" borderId="0" xfId="3" applyFont="1" applyFill="1" applyAlignment="1" applyProtection="1">
      <alignment horizontal="justify" wrapText="1"/>
      <protection hidden="1"/>
    </xf>
    <xf numFmtId="0" fontId="52" fillId="0" borderId="19" xfId="3" applyFont="1" applyBorder="1" applyAlignment="1" applyProtection="1">
      <alignment horizontal="center"/>
      <protection hidden="1"/>
    </xf>
    <xf numFmtId="0" fontId="52" fillId="0" borderId="20" xfId="3" applyFont="1" applyBorder="1" applyAlignment="1" applyProtection="1">
      <alignment horizontal="center"/>
      <protection hidden="1"/>
    </xf>
    <xf numFmtId="0" fontId="52" fillId="0" borderId="21" xfId="3" applyFont="1" applyBorder="1" applyAlignment="1" applyProtection="1">
      <alignment horizontal="center"/>
      <protection hidden="1"/>
    </xf>
    <xf numFmtId="0" fontId="52" fillId="19" borderId="19" xfId="3" applyFont="1" applyFill="1" applyBorder="1" applyAlignment="1" applyProtection="1">
      <alignment horizontal="center"/>
      <protection hidden="1"/>
    </xf>
    <xf numFmtId="0" fontId="52" fillId="19" borderId="20" xfId="3" applyFont="1" applyFill="1" applyBorder="1" applyAlignment="1" applyProtection="1">
      <alignment horizontal="center"/>
      <protection hidden="1"/>
    </xf>
    <xf numFmtId="0" fontId="52" fillId="19" borderId="21" xfId="3" applyFont="1" applyFill="1" applyBorder="1" applyAlignment="1" applyProtection="1">
      <alignment horizontal="center"/>
      <protection hidden="1"/>
    </xf>
    <xf numFmtId="0" fontId="60" fillId="0" borderId="0" xfId="3" applyFont="1" applyAlignment="1" applyProtection="1">
      <alignment horizontal="left" vertical="center" wrapText="1"/>
      <protection hidden="1"/>
    </xf>
    <xf numFmtId="0" fontId="98" fillId="34" borderId="122" xfId="18" applyFont="1" applyBorder="1">
      <alignment horizontal="center" vertical="center"/>
      <protection hidden="1"/>
    </xf>
  </cellXfs>
  <cellStyles count="21">
    <cellStyle name="20% - Accent1" xfId="12" builtinId="30"/>
    <cellStyle name="20% - Accent5" xfId="14" builtinId="46"/>
    <cellStyle name="40% - Accent2" xfId="13" builtinId="35"/>
    <cellStyle name="Comma 2" xfId="8" xr:uid="{FA7259EC-E466-491F-A22B-510709BB69BD}"/>
    <cellStyle name="Currency 2" xfId="4" xr:uid="{12211B68-3DA9-46B1-91E0-C96A79B9A9CD}"/>
    <cellStyle name="Currency 2 2" xfId="9" xr:uid="{A0704609-E1C8-4423-B48F-7A03D253D28A}"/>
    <cellStyle name="Currency 3" xfId="6" xr:uid="{1412077C-93C7-4005-9215-062CC7C0D2E6}"/>
    <cellStyle name="Header_Main" xfId="15" xr:uid="{A834F689-2CD0-4D7C-B28F-C24E0E5E6828}"/>
    <cellStyle name="Header_Section" xfId="16" xr:uid="{FCFEC1FD-A19E-4B6A-B6DB-5B3076B6D054}"/>
    <cellStyle name="Header_Subtle" xfId="17" xr:uid="{B88858B2-A560-4096-81C2-D6E0D2BA478B}"/>
    <cellStyle name="Hyperlink 2" xfId="10" xr:uid="{D3F6AF9E-09C1-47A8-822A-FADABD04D133}"/>
    <cellStyle name="Input" xfId="1" builtinId="20"/>
    <cellStyle name="Input 2" xfId="7" xr:uid="{75274E5A-2F3B-404D-8D10-D27240588196}"/>
    <cellStyle name="Input_Cell" xfId="18" xr:uid="{FA384A70-A487-452D-8D7E-4B8FE446D8C0}"/>
    <cellStyle name="Label_Cell" xfId="19" xr:uid="{DF50657B-2902-4535-AC15-82F1792B4E45}"/>
    <cellStyle name="Neutral" xfId="11" builtinId="28"/>
    <cellStyle name="Normal" xfId="0" builtinId="0"/>
    <cellStyle name="Normal 2" xfId="2" xr:uid="{E453697E-ADDE-47BC-BB28-600EECDFE21D}"/>
    <cellStyle name="Normal 3" xfId="3" xr:uid="{F99EF848-56EE-4723-A252-09313485E4DA}"/>
    <cellStyle name="Percent 2" xfId="5" xr:uid="{8E6EB937-7C35-40BE-A1B9-CB55C668AAD0}"/>
    <cellStyle name="Total_Cell" xfId="20" xr:uid="{CDF3E23B-C65C-4D7B-890E-7651B752988D}"/>
  </cellStyles>
  <dxfs count="35">
    <dxf>
      <fill>
        <patternFill>
          <bgColor rgb="FFF9B073"/>
        </patternFill>
      </fill>
    </dxf>
    <dxf>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color indexed="10"/>
      </font>
    </dxf>
    <dxf>
      <font>
        <b/>
        <i val="0"/>
        <strike val="0"/>
        <condense val="0"/>
        <extend val="0"/>
        <color indexed="10"/>
      </font>
    </dxf>
    <dxf>
      <font>
        <b/>
        <i val="0"/>
        <strike val="0"/>
        <condense val="0"/>
        <extend val="0"/>
        <color indexed="10"/>
      </font>
    </dxf>
    <dxf>
      <fill>
        <patternFill>
          <bgColor rgb="FFF9B073"/>
        </patternFill>
      </fill>
    </dxf>
    <dxf>
      <fill>
        <patternFill>
          <bgColor theme="6" tint="0.59996337778862885"/>
        </patternFill>
      </fill>
    </dxf>
    <dxf>
      <fill>
        <patternFill>
          <bgColor rgb="FFF9B073"/>
        </patternFill>
      </fill>
    </dxf>
    <dxf>
      <fill>
        <patternFill>
          <bgColor theme="6" tint="0.59996337778862885"/>
        </patternFill>
      </fill>
    </dxf>
    <dxf>
      <font>
        <color rgb="FFC00000"/>
      </font>
      <fill>
        <patternFill>
          <bgColor rgb="FFFFC5C5"/>
        </patternFill>
      </fill>
    </dxf>
    <dxf>
      <fill>
        <patternFill>
          <bgColor theme="4" tint="0.59996337778862885"/>
        </patternFill>
      </fill>
    </dxf>
    <dxf>
      <fill>
        <patternFill>
          <bgColor theme="5" tint="0.59996337778862885"/>
        </patternFill>
      </fill>
    </dxf>
    <dxf>
      <fill>
        <patternFill>
          <bgColor theme="7" tint="0.39994506668294322"/>
        </patternFill>
      </fill>
    </dxf>
    <dxf>
      <fill>
        <patternFill>
          <bgColor rgb="FF66FF99"/>
        </patternFill>
      </fill>
    </dxf>
    <dxf>
      <fill>
        <patternFill>
          <bgColor theme="9"/>
        </patternFill>
      </fill>
    </dxf>
    <dxf>
      <font>
        <color theme="9"/>
      </font>
      <fill>
        <patternFill>
          <bgColor theme="9"/>
        </patternFill>
      </fill>
    </dxf>
    <dxf>
      <font>
        <color rgb="FF66FF99"/>
      </font>
      <fill>
        <patternFill>
          <bgColor rgb="FF66FF99"/>
        </patternFill>
      </fill>
    </dxf>
    <dxf>
      <font>
        <color theme="7" tint="0.39994506668294322"/>
      </font>
      <fill>
        <patternFill>
          <bgColor theme="7" tint="0.39994506668294322"/>
        </patternFill>
      </fill>
    </dxf>
    <dxf>
      <font>
        <color theme="5" tint="0.59996337778862885"/>
      </font>
      <fill>
        <patternFill>
          <bgColor theme="5" tint="0.59996337778862885"/>
        </patternFill>
      </fill>
    </dxf>
    <dxf>
      <font>
        <color theme="4" tint="0.59996337778862885"/>
      </font>
      <fill>
        <patternFill>
          <bgColor theme="4" tint="0.59996337778862885"/>
        </patternFill>
      </fill>
    </dxf>
    <dxf>
      <font>
        <strike val="0"/>
        <outline val="0"/>
        <shadow val="0"/>
        <u val="none"/>
        <vertAlign val="baseline"/>
        <sz val="10"/>
        <color auto="1"/>
        <name val="Arial"/>
        <scheme val="none"/>
      </font>
      <numFmt numFmtId="169" formatCode="mmm"/>
    </dxf>
    <dxf>
      <font>
        <strike val="0"/>
        <outline val="0"/>
        <shadow val="0"/>
        <u val="none"/>
        <vertAlign val="baseline"/>
        <sz val="10"/>
        <color auto="1"/>
        <name val="Arial"/>
        <scheme val="none"/>
      </font>
      <numFmt numFmtId="169" formatCode="mmm"/>
    </dxf>
    <dxf>
      <font>
        <strike val="0"/>
        <outline val="0"/>
        <shadow val="0"/>
        <u val="none"/>
        <vertAlign val="baseline"/>
        <sz val="10"/>
        <color auto="1"/>
        <name val="Arial"/>
        <scheme val="none"/>
      </font>
      <numFmt numFmtId="180" formatCode="dd\-mmm"/>
    </dxf>
    <dxf>
      <font>
        <strike val="0"/>
        <outline val="0"/>
        <shadow val="0"/>
        <u val="none"/>
        <vertAlign val="baseline"/>
        <sz val="10"/>
        <color auto="1"/>
        <name val="Arial"/>
        <scheme val="none"/>
      </font>
    </dxf>
    <dxf>
      <font>
        <strike val="0"/>
        <outline val="0"/>
        <shadow val="0"/>
        <u val="none"/>
        <vertAlign val="baseline"/>
        <sz val="10"/>
        <color auto="1"/>
        <name val="Arial"/>
        <scheme val="none"/>
      </font>
      <numFmt numFmtId="30" formatCode="@"/>
      <fill>
        <patternFill patternType="solid">
          <fgColor indexed="64"/>
          <bgColor theme="0" tint="-4.9989318521683403E-2"/>
        </patternFill>
      </fill>
    </dxf>
    <dxf>
      <font>
        <strike val="0"/>
        <outline val="0"/>
        <shadow val="0"/>
        <u val="none"/>
        <vertAlign val="baseline"/>
        <sz val="10"/>
        <color auto="1"/>
        <name val="Arial"/>
        <scheme val="none"/>
      </font>
      <numFmt numFmtId="30" formatCode="@"/>
      <fill>
        <patternFill patternType="solid">
          <fgColor indexed="64"/>
          <bgColor theme="0" tint="-4.9989318521683403E-2"/>
        </patternFill>
      </fill>
    </dxf>
    <dxf>
      <border outline="0">
        <left style="medium">
          <color indexed="64"/>
        </left>
        <right style="medium">
          <color indexed="64"/>
        </right>
        <top style="medium">
          <color indexed="64"/>
        </top>
        <bottom style="medium">
          <color indexed="64"/>
        </bottom>
      </border>
    </dxf>
    <dxf>
      <font>
        <strike val="0"/>
        <outline val="0"/>
        <shadow val="0"/>
        <u val="none"/>
        <vertAlign val="baseline"/>
        <sz val="10"/>
        <color auto="1"/>
        <name val="Arial"/>
        <scheme val="none"/>
      </font>
      <numFmt numFmtId="30" formatCode="@"/>
      <fill>
        <patternFill patternType="solid">
          <fgColor indexed="64"/>
          <bgColor theme="0" tint="-4.9989318521683403E-2"/>
        </patternFill>
      </fill>
    </dxf>
    <dxf>
      <font>
        <strike val="0"/>
        <outline val="0"/>
        <shadow val="0"/>
        <u val="none"/>
        <vertAlign val="baseline"/>
        <sz val="10"/>
        <color auto="1"/>
        <name val="Arial"/>
        <scheme val="none"/>
      </font>
      <numFmt numFmtId="30" formatCode="@"/>
      <fill>
        <patternFill patternType="solid">
          <fgColor indexed="64"/>
          <bgColor theme="0" tint="-0.499984740745262"/>
        </patternFill>
      </fill>
    </dxf>
    <dxf>
      <fill>
        <patternFill patternType="solid">
          <fgColor indexed="64"/>
          <bgColor theme="0" tint="-4.9989318521683403E-2"/>
        </patternFill>
      </fill>
      <protection locked="1" hidden="1"/>
    </dxf>
    <dxf>
      <fill>
        <patternFill patternType="solid">
          <fgColor indexed="64"/>
          <bgColor theme="0" tint="-4.9989318521683403E-2"/>
        </patternFill>
      </fill>
      <protection locked="1" hidden="1"/>
    </dxf>
    <dxf>
      <font>
        <b/>
        <i val="0"/>
        <strike val="0"/>
        <condense val="0"/>
        <extend val="0"/>
        <outline val="0"/>
        <shadow val="0"/>
        <u val="none"/>
        <vertAlign val="baseline"/>
        <sz val="10"/>
        <color auto="1"/>
        <name val="Arial"/>
        <scheme val="none"/>
      </font>
      <fill>
        <patternFill patternType="solid">
          <fgColor indexed="64"/>
          <bgColor theme="0" tint="-4.9989318521683403E-2"/>
        </patternFill>
      </fill>
      <protection locked="1" hidden="1"/>
    </dxf>
  </dxfs>
  <tableStyles count="0" defaultTableStyle="TableStyleMedium2" defaultPivotStyle="PivotStyleLight16"/>
  <colors>
    <mruColors>
      <color rgb="FFC6A16E"/>
      <color rgb="FFF7F2EB"/>
      <color rgb="FFF2EDE6"/>
      <color rgb="FF1C1323"/>
      <color rgb="FF2A1A2F"/>
      <color rgb="FFEDE3D6"/>
      <color rgb="FF3B2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348615</xdr:colOff>
      <xdr:row>10</xdr:row>
      <xdr:rowOff>43815</xdr:rowOff>
    </xdr:from>
    <xdr:to>
      <xdr:col>17</xdr:col>
      <xdr:colOff>320040</xdr:colOff>
      <xdr:row>12</xdr:row>
      <xdr:rowOff>43815</xdr:rowOff>
    </xdr:to>
    <xdr:sp macro="" textlink="">
      <xdr:nvSpPr>
        <xdr:cNvPr id="2" name="Rounded Rectangle 4">
          <a:extLst>
            <a:ext uri="{FF2B5EF4-FFF2-40B4-BE49-F238E27FC236}">
              <a16:creationId xmlns:a16="http://schemas.microsoft.com/office/drawing/2014/main" id="{68637911-7605-46BD-A2DA-60AC7910CC6E}"/>
            </a:ext>
          </a:extLst>
        </xdr:cNvPr>
        <xdr:cNvSpPr>
          <a:spLocks noChangeArrowheads="1"/>
        </xdr:cNvSpPr>
      </xdr:nvSpPr>
      <xdr:spPr bwMode="auto">
        <a:xfrm>
          <a:off x="6597015" y="215265"/>
          <a:ext cx="2876550" cy="342900"/>
        </a:xfrm>
        <a:prstGeom prst="roundRect">
          <a:avLst>
            <a:gd name="adj" fmla="val 16667"/>
          </a:avLst>
        </a:prstGeom>
        <a:solidFill>
          <a:srgbClr val="009BD2"/>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Personal Cash Flow Budget Y1</a:t>
          </a:r>
        </a:p>
      </xdr:txBody>
    </xdr:sp>
    <xdr:clientData/>
  </xdr:twoCellAnchor>
  <xdr:twoCellAnchor>
    <xdr:from>
      <xdr:col>16</xdr:col>
      <xdr:colOff>398146</xdr:colOff>
      <xdr:row>18</xdr:row>
      <xdr:rowOff>105409</xdr:rowOff>
    </xdr:from>
    <xdr:to>
      <xdr:col>20</xdr:col>
      <xdr:colOff>398146</xdr:colOff>
      <xdr:row>20</xdr:row>
      <xdr:rowOff>99059</xdr:rowOff>
    </xdr:to>
    <xdr:sp macro="" textlink="">
      <xdr:nvSpPr>
        <xdr:cNvPr id="3" name="Rounded Rectangle 6">
          <a:extLst>
            <a:ext uri="{FF2B5EF4-FFF2-40B4-BE49-F238E27FC236}">
              <a16:creationId xmlns:a16="http://schemas.microsoft.com/office/drawing/2014/main" id="{56F681C0-DB99-4A20-9CE1-F3174BC6B77A}"/>
            </a:ext>
          </a:extLst>
        </xdr:cNvPr>
        <xdr:cNvSpPr>
          <a:spLocks noChangeArrowheads="1"/>
        </xdr:cNvSpPr>
      </xdr:nvSpPr>
      <xdr:spPr bwMode="auto">
        <a:xfrm>
          <a:off x="8970646" y="1648459"/>
          <a:ext cx="2324100" cy="336550"/>
        </a:xfrm>
        <a:prstGeom prst="roundRect">
          <a:avLst>
            <a:gd name="adj" fmla="val 16667"/>
          </a:avLst>
        </a:prstGeom>
        <a:solidFill>
          <a:srgbClr val="8238BA"/>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Marketing Action Plan</a:t>
          </a:r>
        </a:p>
      </xdr:txBody>
    </xdr:sp>
    <xdr:clientData/>
  </xdr:twoCellAnchor>
  <xdr:twoCellAnchor>
    <xdr:from>
      <xdr:col>9</xdr:col>
      <xdr:colOff>598169</xdr:colOff>
      <xdr:row>24</xdr:row>
      <xdr:rowOff>99060</xdr:rowOff>
    </xdr:from>
    <xdr:to>
      <xdr:col>20</xdr:col>
      <xdr:colOff>13334</xdr:colOff>
      <xdr:row>26</xdr:row>
      <xdr:rowOff>85726</xdr:rowOff>
    </xdr:to>
    <xdr:sp macro="" textlink="">
      <xdr:nvSpPr>
        <xdr:cNvPr id="4" name="Rounded Rectangle 8">
          <a:extLst>
            <a:ext uri="{FF2B5EF4-FFF2-40B4-BE49-F238E27FC236}">
              <a16:creationId xmlns:a16="http://schemas.microsoft.com/office/drawing/2014/main" id="{5C854E28-F909-4CEF-AC42-5A731FC92D33}"/>
            </a:ext>
          </a:extLst>
        </xdr:cNvPr>
        <xdr:cNvSpPr>
          <a:spLocks noChangeArrowheads="1"/>
        </xdr:cNvSpPr>
      </xdr:nvSpPr>
      <xdr:spPr bwMode="auto">
        <a:xfrm>
          <a:off x="5084444" y="2670810"/>
          <a:ext cx="5825490" cy="329566"/>
        </a:xfrm>
        <a:prstGeom prst="roundRect">
          <a:avLst>
            <a:gd name="adj" fmla="val 16667"/>
          </a:avLst>
        </a:prstGeom>
        <a:solidFill>
          <a:schemeClr val="accent1">
            <a:lumMod val="75000"/>
          </a:schemeClr>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Cash Flow Year 1, Year 2, Year 3</a:t>
          </a:r>
        </a:p>
      </xdr:txBody>
    </xdr:sp>
    <xdr:clientData/>
  </xdr:twoCellAnchor>
  <xdr:twoCellAnchor>
    <xdr:from>
      <xdr:col>13</xdr:col>
      <xdr:colOff>115956</xdr:colOff>
      <xdr:row>21</xdr:row>
      <xdr:rowOff>140805</xdr:rowOff>
    </xdr:from>
    <xdr:to>
      <xdr:col>14</xdr:col>
      <xdr:colOff>190500</xdr:colOff>
      <xdr:row>24</xdr:row>
      <xdr:rowOff>73660</xdr:rowOff>
    </xdr:to>
    <xdr:cxnSp macro="">
      <xdr:nvCxnSpPr>
        <xdr:cNvPr id="5" name="Straight Arrow Connector 10">
          <a:extLst>
            <a:ext uri="{FF2B5EF4-FFF2-40B4-BE49-F238E27FC236}">
              <a16:creationId xmlns:a16="http://schemas.microsoft.com/office/drawing/2014/main" id="{A98F046A-E763-40C5-9F82-DE698D573422}"/>
            </a:ext>
          </a:extLst>
        </xdr:cNvPr>
        <xdr:cNvCxnSpPr>
          <a:cxnSpLocks noChangeShapeType="1"/>
        </xdr:cNvCxnSpPr>
      </xdr:nvCxnSpPr>
      <xdr:spPr bwMode="auto">
        <a:xfrm>
          <a:off x="7512326" y="3793435"/>
          <a:ext cx="654326" cy="454660"/>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16</xdr:col>
      <xdr:colOff>253365</xdr:colOff>
      <xdr:row>20</xdr:row>
      <xdr:rowOff>85725</xdr:rowOff>
    </xdr:from>
    <xdr:to>
      <xdr:col>17</xdr:col>
      <xdr:colOff>133350</xdr:colOff>
      <xdr:row>24</xdr:row>
      <xdr:rowOff>91440</xdr:rowOff>
    </xdr:to>
    <xdr:cxnSp macro="">
      <xdr:nvCxnSpPr>
        <xdr:cNvPr id="6" name="Straight Arrow Connector 12">
          <a:extLst>
            <a:ext uri="{FF2B5EF4-FFF2-40B4-BE49-F238E27FC236}">
              <a16:creationId xmlns:a16="http://schemas.microsoft.com/office/drawing/2014/main" id="{A06C9945-37E1-457A-AB50-9EB8BC3C61DE}"/>
            </a:ext>
          </a:extLst>
        </xdr:cNvPr>
        <xdr:cNvCxnSpPr>
          <a:cxnSpLocks noChangeShapeType="1"/>
        </xdr:cNvCxnSpPr>
      </xdr:nvCxnSpPr>
      <xdr:spPr bwMode="auto">
        <a:xfrm flipH="1">
          <a:off x="8825865" y="1971675"/>
          <a:ext cx="461010" cy="691515"/>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14</xdr:col>
      <xdr:colOff>9525</xdr:colOff>
      <xdr:row>15</xdr:row>
      <xdr:rowOff>66675</xdr:rowOff>
    </xdr:from>
    <xdr:to>
      <xdr:col>15</xdr:col>
      <xdr:colOff>59055</xdr:colOff>
      <xdr:row>24</xdr:row>
      <xdr:rowOff>64770</xdr:rowOff>
    </xdr:to>
    <xdr:cxnSp macro="">
      <xdr:nvCxnSpPr>
        <xdr:cNvPr id="7" name="Straight Arrow Connector 14">
          <a:extLst>
            <a:ext uri="{FF2B5EF4-FFF2-40B4-BE49-F238E27FC236}">
              <a16:creationId xmlns:a16="http://schemas.microsoft.com/office/drawing/2014/main" id="{8784C71C-9BDF-4E9C-87E5-F586F7D2AEE4}"/>
            </a:ext>
          </a:extLst>
        </xdr:cNvPr>
        <xdr:cNvCxnSpPr>
          <a:cxnSpLocks noChangeShapeType="1"/>
        </xdr:cNvCxnSpPr>
      </xdr:nvCxnSpPr>
      <xdr:spPr bwMode="auto">
        <a:xfrm>
          <a:off x="7419975" y="2638425"/>
          <a:ext cx="630555" cy="1541145"/>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16</xdr:col>
      <xdr:colOff>19050</xdr:colOff>
      <xdr:row>26</xdr:row>
      <xdr:rowOff>104775</xdr:rowOff>
    </xdr:from>
    <xdr:to>
      <xdr:col>16</xdr:col>
      <xdr:colOff>440055</xdr:colOff>
      <xdr:row>28</xdr:row>
      <xdr:rowOff>152400</xdr:rowOff>
    </xdr:to>
    <xdr:cxnSp macro="">
      <xdr:nvCxnSpPr>
        <xdr:cNvPr id="8" name="Straight Arrow Connector 19">
          <a:extLst>
            <a:ext uri="{FF2B5EF4-FFF2-40B4-BE49-F238E27FC236}">
              <a16:creationId xmlns:a16="http://schemas.microsoft.com/office/drawing/2014/main" id="{B990C2FC-676B-4776-B9D3-62DB428F8B4F}"/>
            </a:ext>
          </a:extLst>
        </xdr:cNvPr>
        <xdr:cNvCxnSpPr>
          <a:cxnSpLocks noChangeShapeType="1"/>
        </xdr:cNvCxnSpPr>
      </xdr:nvCxnSpPr>
      <xdr:spPr bwMode="auto">
        <a:xfrm>
          <a:off x="8591550" y="3019425"/>
          <a:ext cx="421005" cy="390525"/>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9</xdr:col>
      <xdr:colOff>274321</xdr:colOff>
      <xdr:row>18</xdr:row>
      <xdr:rowOff>114300</xdr:rowOff>
    </xdr:from>
    <xdr:to>
      <xdr:col>14</xdr:col>
      <xdr:colOff>243842</xdr:colOff>
      <xdr:row>31</xdr:row>
      <xdr:rowOff>38101</xdr:rowOff>
    </xdr:to>
    <xdr:grpSp>
      <xdr:nvGrpSpPr>
        <xdr:cNvPr id="9" name="Group 8">
          <a:extLst>
            <a:ext uri="{FF2B5EF4-FFF2-40B4-BE49-F238E27FC236}">
              <a16:creationId xmlns:a16="http://schemas.microsoft.com/office/drawing/2014/main" id="{4572FFA2-7A67-41C6-8545-E9D941591219}"/>
            </a:ext>
          </a:extLst>
        </xdr:cNvPr>
        <xdr:cNvGrpSpPr/>
      </xdr:nvGrpSpPr>
      <xdr:grpSpPr>
        <a:xfrm>
          <a:off x="5351560" y="3245126"/>
          <a:ext cx="2868434" cy="2184953"/>
          <a:chOff x="5914416" y="-191100"/>
          <a:chExt cx="4644664" cy="1877419"/>
        </a:xfrm>
        <a:solidFill>
          <a:schemeClr val="accent1">
            <a:lumMod val="75000"/>
          </a:schemeClr>
        </a:solidFill>
      </xdr:grpSpPr>
      <xdr:sp macro="" textlink="">
        <xdr:nvSpPr>
          <xdr:cNvPr id="10" name="Rounded Rectangle 5">
            <a:extLst>
              <a:ext uri="{FF2B5EF4-FFF2-40B4-BE49-F238E27FC236}">
                <a16:creationId xmlns:a16="http://schemas.microsoft.com/office/drawing/2014/main" id="{9B1A04C7-1349-833C-006E-843C20EC963C}"/>
              </a:ext>
            </a:extLst>
          </xdr:cNvPr>
          <xdr:cNvSpPr>
            <a:spLocks noChangeArrowheads="1"/>
          </xdr:cNvSpPr>
        </xdr:nvSpPr>
        <xdr:spPr bwMode="auto">
          <a:xfrm>
            <a:off x="5914416" y="-191100"/>
            <a:ext cx="4524033" cy="471134"/>
          </a:xfrm>
          <a:prstGeom prst="roundRect">
            <a:avLst>
              <a:gd name="adj" fmla="val 16667"/>
            </a:avLst>
          </a:prstGeom>
          <a:solidFill>
            <a:schemeClr val="tx1">
              <a:lumMod val="75000"/>
            </a:schemeClr>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Sales Forecast Year 1, Year 2,  and Year 3</a:t>
            </a:r>
          </a:p>
        </xdr:txBody>
      </xdr:sp>
      <xdr:sp macro="" textlink="">
        <xdr:nvSpPr>
          <xdr:cNvPr id="11" name="Rounded Rectangle 22">
            <a:extLst>
              <a:ext uri="{FF2B5EF4-FFF2-40B4-BE49-F238E27FC236}">
                <a16:creationId xmlns:a16="http://schemas.microsoft.com/office/drawing/2014/main" id="{48A6F45E-43BB-AB7A-506D-F52874DBAED3}"/>
              </a:ext>
            </a:extLst>
          </xdr:cNvPr>
          <xdr:cNvSpPr>
            <a:spLocks noChangeArrowheads="1"/>
          </xdr:cNvSpPr>
        </xdr:nvSpPr>
        <xdr:spPr bwMode="auto">
          <a:xfrm>
            <a:off x="6914572" y="1370135"/>
            <a:ext cx="3644508" cy="316184"/>
          </a:xfrm>
          <a:prstGeom prst="roundRect">
            <a:avLst>
              <a:gd name="adj" fmla="val 16667"/>
            </a:avLst>
          </a:prstGeom>
          <a:solidFill>
            <a:srgbClr val="92D050"/>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Profit &amp; Loss Statement</a:t>
            </a:r>
          </a:p>
        </xdr:txBody>
      </xdr:sp>
    </xdr:grpSp>
    <xdr:clientData/>
  </xdr:twoCellAnchor>
  <xdr:twoCellAnchor>
    <xdr:from>
      <xdr:col>15</xdr:col>
      <xdr:colOff>493393</xdr:colOff>
      <xdr:row>29</xdr:row>
      <xdr:rowOff>5715</xdr:rowOff>
    </xdr:from>
    <xdr:to>
      <xdr:col>19</xdr:col>
      <xdr:colOff>436244</xdr:colOff>
      <xdr:row>31</xdr:row>
      <xdr:rowOff>16110</xdr:rowOff>
    </xdr:to>
    <xdr:sp macro="" textlink="">
      <xdr:nvSpPr>
        <xdr:cNvPr id="12" name="Rounded Rectangle 22">
          <a:extLst>
            <a:ext uri="{FF2B5EF4-FFF2-40B4-BE49-F238E27FC236}">
              <a16:creationId xmlns:a16="http://schemas.microsoft.com/office/drawing/2014/main" id="{D7667A2B-046F-4A36-8F69-7D3F52C4E09B}"/>
            </a:ext>
          </a:extLst>
        </xdr:cNvPr>
        <xdr:cNvSpPr>
          <a:spLocks noChangeArrowheads="1"/>
        </xdr:cNvSpPr>
      </xdr:nvSpPr>
      <xdr:spPr bwMode="auto">
        <a:xfrm>
          <a:off x="8484868" y="3434715"/>
          <a:ext cx="2266951" cy="353295"/>
        </a:xfrm>
        <a:prstGeom prst="roundRect">
          <a:avLst>
            <a:gd name="adj" fmla="val 16667"/>
          </a:avLst>
        </a:prstGeom>
        <a:solidFill>
          <a:srgbClr val="92D050"/>
        </a:solidFill>
        <a:ln w="9525">
          <a:solidFill>
            <a:srgbClr val="4A7EBB"/>
          </a:solidFill>
          <a:round/>
          <a:headEnd/>
          <a:tailEnd/>
        </a:ln>
        <a:effectLst>
          <a:outerShdw blurRad="40000" dist="23000" dir="5400000" rotWithShape="0">
            <a:srgbClr val="808080">
              <a:alpha val="34999"/>
            </a:srgbClr>
          </a:outerShdw>
        </a:effectLst>
      </xdr:spPr>
      <xdr:txBody>
        <a:bodyPr vertOverflow="clip" wrap="square" lIns="36576" tIns="36576" rIns="0" bIns="0" anchor="t" upright="1"/>
        <a:lstStyle/>
        <a:p>
          <a:pPr algn="ctr" rtl="0">
            <a:defRPr sz="1000"/>
          </a:pPr>
          <a:r>
            <a:rPr lang="en-AU" sz="1600" b="0" i="0" u="none" strike="noStrike" baseline="0">
              <a:solidFill>
                <a:srgbClr val="FFFFFF"/>
              </a:solidFill>
              <a:latin typeface="Berlin Sans FB" panose="020E0602020502020306" pitchFamily="34" charset="0"/>
              <a:cs typeface="Calibri"/>
            </a:rPr>
            <a:t>Balance Sheet</a:t>
          </a:r>
        </a:p>
      </xdr:txBody>
    </xdr:sp>
    <xdr:clientData/>
  </xdr:twoCellAnchor>
  <xdr:twoCellAnchor>
    <xdr:from>
      <xdr:col>13</xdr:col>
      <xdr:colOff>325755</xdr:colOff>
      <xdr:row>26</xdr:row>
      <xdr:rowOff>114300</xdr:rowOff>
    </xdr:from>
    <xdr:to>
      <xdr:col>14</xdr:col>
      <xdr:colOff>66675</xdr:colOff>
      <xdr:row>28</xdr:row>
      <xdr:rowOff>152400</xdr:rowOff>
    </xdr:to>
    <xdr:cxnSp macro="">
      <xdr:nvCxnSpPr>
        <xdr:cNvPr id="13" name="Straight Arrow Connector 19">
          <a:extLst>
            <a:ext uri="{FF2B5EF4-FFF2-40B4-BE49-F238E27FC236}">
              <a16:creationId xmlns:a16="http://schemas.microsoft.com/office/drawing/2014/main" id="{A1EC2801-264D-4464-897D-9AAED57220F4}"/>
            </a:ext>
          </a:extLst>
        </xdr:cNvPr>
        <xdr:cNvCxnSpPr>
          <a:cxnSpLocks noChangeShapeType="1"/>
        </xdr:cNvCxnSpPr>
      </xdr:nvCxnSpPr>
      <xdr:spPr bwMode="auto">
        <a:xfrm flipH="1">
          <a:off x="7155180" y="3028950"/>
          <a:ext cx="321945" cy="381000"/>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15</xdr:col>
      <xdr:colOff>236220</xdr:colOff>
      <xdr:row>15</xdr:row>
      <xdr:rowOff>95250</xdr:rowOff>
    </xdr:from>
    <xdr:to>
      <xdr:col>16</xdr:col>
      <xdr:colOff>304800</xdr:colOff>
      <xdr:row>24</xdr:row>
      <xdr:rowOff>40005</xdr:rowOff>
    </xdr:to>
    <xdr:cxnSp macro="">
      <xdr:nvCxnSpPr>
        <xdr:cNvPr id="14" name="Straight Arrow Connector 13">
          <a:extLst>
            <a:ext uri="{FF2B5EF4-FFF2-40B4-BE49-F238E27FC236}">
              <a16:creationId xmlns:a16="http://schemas.microsoft.com/office/drawing/2014/main" id="{891DEF46-D374-4EBE-BB04-849D5F722542}"/>
            </a:ext>
          </a:extLst>
        </xdr:cNvPr>
        <xdr:cNvCxnSpPr>
          <a:cxnSpLocks noChangeShapeType="1"/>
        </xdr:cNvCxnSpPr>
      </xdr:nvCxnSpPr>
      <xdr:spPr bwMode="auto">
        <a:xfrm flipV="1">
          <a:off x="8227695" y="2667000"/>
          <a:ext cx="649605" cy="1487805"/>
        </a:xfrm>
        <a:prstGeom prst="straightConnector1">
          <a:avLst/>
        </a:prstGeom>
        <a:noFill/>
        <a:ln w="25400">
          <a:solidFill>
            <a:srgbClr val="4F81BD"/>
          </a:solidFill>
          <a:round/>
          <a:headEnd/>
          <a:tailEnd type="arrow" w="med" len="med"/>
        </a:ln>
        <a:effectLst>
          <a:outerShdw blurRad="40000" dist="20000" dir="5400000" rotWithShape="0">
            <a:srgbClr val="808080">
              <a:alpha val="37999"/>
            </a:srgbClr>
          </a:outerShdw>
        </a:effectLst>
        <a:extLst>
          <a:ext uri="{909E8E84-426E-40dd-AFC4-6F175D3DCCD1}">
            <a14:hiddenFill xmlns="" xmlns:a14="http://schemas.microsoft.com/office/drawing/2010/main">
              <a:noFill/>
            </a14:hiddenFill>
          </a:ext>
        </a:extLst>
      </xdr:spPr>
    </xdr:cxnSp>
    <xdr:clientData/>
  </xdr:twoCellAnchor>
  <xdr:twoCellAnchor>
    <xdr:from>
      <xdr:col>12</xdr:col>
      <xdr:colOff>160022</xdr:colOff>
      <xdr:row>13</xdr:row>
      <xdr:rowOff>91440</xdr:rowOff>
    </xdr:from>
    <xdr:to>
      <xdr:col>15</xdr:col>
      <xdr:colOff>167641</xdr:colOff>
      <xdr:row>15</xdr:row>
      <xdr:rowOff>91440</xdr:rowOff>
    </xdr:to>
    <xdr:sp macro="" textlink="">
      <xdr:nvSpPr>
        <xdr:cNvPr id="15" name="Rectangle 17">
          <a:extLst>
            <a:ext uri="{FF2B5EF4-FFF2-40B4-BE49-F238E27FC236}">
              <a16:creationId xmlns:a16="http://schemas.microsoft.com/office/drawing/2014/main" id="{C3AD6E18-2796-49A2-8069-D5F927CE72C7}"/>
            </a:ext>
          </a:extLst>
        </xdr:cNvPr>
        <xdr:cNvSpPr>
          <a:spLocks noChangeArrowheads="1"/>
        </xdr:cNvSpPr>
      </xdr:nvSpPr>
      <xdr:spPr bwMode="auto">
        <a:xfrm>
          <a:off x="6408422" y="2320290"/>
          <a:ext cx="1750694" cy="342900"/>
        </a:xfrm>
        <a:prstGeom prst="rect">
          <a:avLst/>
        </a:prstGeom>
        <a:solidFill>
          <a:schemeClr val="bg1">
            <a:lumMod val="85000"/>
          </a:schemeClr>
        </a:solidFill>
        <a:ln w="9525">
          <a:solidFill>
            <a:srgbClr val="000000"/>
          </a:solidFill>
          <a:miter lim="800000"/>
          <a:headEnd/>
          <a:tailEnd/>
        </a:ln>
        <a:effectLst>
          <a:outerShdw blurRad="40000" dist="23000" dir="5400000" rotWithShape="0">
            <a:srgbClr val="808080">
              <a:alpha val="34999"/>
            </a:srgbClr>
          </a:outerShdw>
        </a:effectLst>
      </xdr:spPr>
      <xdr:txBody>
        <a:bodyPr vertOverflow="clip" wrap="square" lIns="27432" tIns="27432" rIns="0" bIns="0" anchor="ctr" upright="1"/>
        <a:lstStyle/>
        <a:p>
          <a:pPr algn="ctr" rtl="0">
            <a:defRPr sz="1000"/>
          </a:pPr>
          <a:r>
            <a:rPr lang="en-AU" sz="900" b="0" i="0" u="none" strike="noStrike" baseline="0">
              <a:solidFill>
                <a:sysClr val="windowText" lastClr="000000"/>
              </a:solidFill>
              <a:latin typeface="Calibri"/>
              <a:cs typeface="Calibri"/>
            </a:rPr>
            <a:t>Expenses shared between business &amp; personal  budget</a:t>
          </a:r>
        </a:p>
      </xdr:txBody>
    </xdr:sp>
    <xdr:clientData/>
  </xdr:twoCellAnchor>
  <xdr:twoCellAnchor>
    <xdr:from>
      <xdr:col>15</xdr:col>
      <xdr:colOff>478153</xdr:colOff>
      <xdr:row>13</xdr:row>
      <xdr:rowOff>91440</xdr:rowOff>
    </xdr:from>
    <xdr:to>
      <xdr:col>18</xdr:col>
      <xdr:colOff>480059</xdr:colOff>
      <xdr:row>15</xdr:row>
      <xdr:rowOff>97156</xdr:rowOff>
    </xdr:to>
    <xdr:sp macro="" textlink="">
      <xdr:nvSpPr>
        <xdr:cNvPr id="16" name="Rectangle 17">
          <a:extLst>
            <a:ext uri="{FF2B5EF4-FFF2-40B4-BE49-F238E27FC236}">
              <a16:creationId xmlns:a16="http://schemas.microsoft.com/office/drawing/2014/main" id="{97ABA68B-02B6-48C7-85FD-C02BE37E22DE}"/>
            </a:ext>
          </a:extLst>
        </xdr:cNvPr>
        <xdr:cNvSpPr>
          <a:spLocks noChangeArrowheads="1"/>
        </xdr:cNvSpPr>
      </xdr:nvSpPr>
      <xdr:spPr bwMode="auto">
        <a:xfrm>
          <a:off x="8469628" y="777240"/>
          <a:ext cx="1744981" cy="348616"/>
        </a:xfrm>
        <a:prstGeom prst="rect">
          <a:avLst/>
        </a:prstGeom>
        <a:solidFill>
          <a:schemeClr val="bg1">
            <a:lumMod val="85000"/>
          </a:schemeClr>
        </a:solidFill>
        <a:ln w="9525">
          <a:solidFill>
            <a:srgbClr val="000000"/>
          </a:solidFill>
          <a:miter lim="800000"/>
          <a:headEnd/>
          <a:tailEnd/>
        </a:ln>
        <a:effectLst>
          <a:outerShdw blurRad="40000" dist="23000" dir="5400000" rotWithShape="0">
            <a:srgbClr val="808080">
              <a:alpha val="34999"/>
            </a:srgbClr>
          </a:outerShdw>
        </a:effectLst>
      </xdr:spPr>
      <xdr:txBody>
        <a:bodyPr vertOverflow="clip" wrap="square" lIns="27432" tIns="27432" rIns="0" bIns="0" anchor="ctr" upright="1"/>
        <a:lstStyle/>
        <a:p>
          <a:pPr algn="ctr" rtl="0">
            <a:defRPr sz="1000"/>
          </a:pPr>
          <a:r>
            <a:rPr lang="en-AU" sz="900" b="0" i="0" u="none" strike="noStrike" baseline="0">
              <a:solidFill>
                <a:sysClr val="windowText" lastClr="000000"/>
              </a:solidFill>
              <a:latin typeface="Calibri"/>
              <a:cs typeface="Calibri"/>
            </a:rPr>
            <a:t>Money from the business for personal budget (Drawings or Salary)</a:t>
          </a:r>
        </a:p>
        <a:p>
          <a:pPr algn="l" rtl="0">
            <a:defRPr sz="1000"/>
          </a:pPr>
          <a:endParaRPr lang="en-AU" sz="900" b="0" i="0" u="none" strike="noStrike" baseline="0">
            <a:solidFill>
              <a:sysClr val="windowText" lastClr="000000"/>
            </a:solidFill>
            <a:latin typeface="Calibri"/>
            <a:cs typeface="Calibri"/>
          </a:endParaRPr>
        </a:p>
      </xdr:txBody>
    </xdr:sp>
    <xdr:clientData/>
  </xdr:twoCellAnchor>
  <xdr:twoCellAnchor editAs="oneCell">
    <xdr:from>
      <xdr:col>2</xdr:col>
      <xdr:colOff>171451</xdr:colOff>
      <xdr:row>1</xdr:row>
      <xdr:rowOff>152400</xdr:rowOff>
    </xdr:from>
    <xdr:to>
      <xdr:col>4</xdr:col>
      <xdr:colOff>403441</xdr:colOff>
      <xdr:row>7</xdr:row>
      <xdr:rowOff>47625</xdr:rowOff>
    </xdr:to>
    <xdr:pic>
      <xdr:nvPicPr>
        <xdr:cNvPr id="18" name="Picture 17">
          <a:extLst>
            <a:ext uri="{FF2B5EF4-FFF2-40B4-BE49-F238E27FC236}">
              <a16:creationId xmlns:a16="http://schemas.microsoft.com/office/drawing/2014/main" id="{E7259A67-7BCC-06E8-2A73-5075C0780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6" y="323850"/>
          <a:ext cx="1394040" cy="92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207395</xdr:colOff>
      <xdr:row>1</xdr:row>
      <xdr:rowOff>107471</xdr:rowOff>
    </xdr:from>
    <xdr:to>
      <xdr:col>1</xdr:col>
      <xdr:colOff>1601435</xdr:colOff>
      <xdr:row>5</xdr:row>
      <xdr:rowOff>150603</xdr:rowOff>
    </xdr:to>
    <xdr:pic>
      <xdr:nvPicPr>
        <xdr:cNvPr id="4" name="Picture 3">
          <a:extLst>
            <a:ext uri="{FF2B5EF4-FFF2-40B4-BE49-F238E27FC236}">
              <a16:creationId xmlns:a16="http://schemas.microsoft.com/office/drawing/2014/main" id="{CB79877A-8FD8-4E36-BB41-4FC5CF650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475" y="269216"/>
          <a:ext cx="1394040" cy="9237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830236</xdr:colOff>
      <xdr:row>1</xdr:row>
      <xdr:rowOff>67709</xdr:rowOff>
    </xdr:from>
    <xdr:to>
      <xdr:col>2</xdr:col>
      <xdr:colOff>1115986</xdr:colOff>
      <xdr:row>1</xdr:row>
      <xdr:rowOff>242798</xdr:rowOff>
    </xdr:to>
    <xdr:sp macro="" textlink="">
      <xdr:nvSpPr>
        <xdr:cNvPr id="2" name="Arrow: Right 1">
          <a:extLst>
            <a:ext uri="{FF2B5EF4-FFF2-40B4-BE49-F238E27FC236}">
              <a16:creationId xmlns:a16="http://schemas.microsoft.com/office/drawing/2014/main" id="{59E93F28-F2F4-4A49-9B2E-286554CA7C68}"/>
            </a:ext>
          </a:extLst>
        </xdr:cNvPr>
        <xdr:cNvSpPr/>
      </xdr:nvSpPr>
      <xdr:spPr bwMode="auto">
        <a:xfrm>
          <a:off x="3163861" y="334409"/>
          <a:ext cx="285750" cy="175089"/>
        </a:xfrm>
        <a:prstGeom prst="rightArrow">
          <a:avLst>
            <a:gd name="adj1" fmla="val 50000"/>
            <a:gd name="adj2" fmla="val 50000"/>
          </a:avLst>
        </a:prstGeom>
        <a:solidFill>
          <a:srgbClr val="FFFF99"/>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l"/>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4560797</xdr:colOff>
      <xdr:row>4</xdr:row>
      <xdr:rowOff>32985</xdr:rowOff>
    </xdr:from>
    <xdr:to>
      <xdr:col>0</xdr:col>
      <xdr:colOff>4725395</xdr:colOff>
      <xdr:row>4</xdr:row>
      <xdr:rowOff>224118</xdr:rowOff>
    </xdr:to>
    <xdr:sp macro="" textlink="">
      <xdr:nvSpPr>
        <xdr:cNvPr id="2" name="Drawing 1">
          <a:extLst>
            <a:ext uri="{FF2B5EF4-FFF2-40B4-BE49-F238E27FC236}">
              <a16:creationId xmlns:a16="http://schemas.microsoft.com/office/drawing/2014/main" id="{92243054-713D-46A6-92B8-681100857162}"/>
            </a:ext>
          </a:extLst>
        </xdr:cNvPr>
        <xdr:cNvSpPr>
          <a:spLocks/>
        </xdr:cNvSpPr>
      </xdr:nvSpPr>
      <xdr:spPr bwMode="auto">
        <a:xfrm rot="16200000">
          <a:off x="4547529" y="1099606"/>
          <a:ext cx="191133" cy="164598"/>
        </a:xfrm>
        <a:custGeom>
          <a:avLst/>
          <a:gdLst>
            <a:gd name="T0" fmla="*/ 0 w 16384"/>
            <a:gd name="T1" fmla="*/ 12412 h 16384"/>
            <a:gd name="T2" fmla="*/ 5632 w 16384"/>
            <a:gd name="T3" fmla="*/ 12412 h 16384"/>
            <a:gd name="T4" fmla="*/ 5632 w 16384"/>
            <a:gd name="T5" fmla="*/ 0 h 16384"/>
            <a:gd name="T6" fmla="*/ 10752 w 16384"/>
            <a:gd name="T7" fmla="*/ 0 h 16384"/>
            <a:gd name="T8" fmla="*/ 10752 w 16384"/>
            <a:gd name="T9" fmla="*/ 12412 h 16384"/>
            <a:gd name="T10" fmla="*/ 16384 w 16384"/>
            <a:gd name="T11" fmla="*/ 12412 h 16384"/>
            <a:gd name="T12" fmla="*/ 8192 w 16384"/>
            <a:gd name="T13" fmla="*/ 16384 h 16384"/>
            <a:gd name="T14" fmla="*/ 0 w 16384"/>
            <a:gd name="T15" fmla="*/ 12412 h 1638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6384" h="16384">
              <a:moveTo>
                <a:pt x="0" y="12412"/>
              </a:moveTo>
              <a:lnTo>
                <a:pt x="5632" y="12412"/>
              </a:lnTo>
              <a:lnTo>
                <a:pt x="5632" y="0"/>
              </a:lnTo>
              <a:lnTo>
                <a:pt x="10752" y="0"/>
              </a:lnTo>
              <a:lnTo>
                <a:pt x="10752" y="12412"/>
              </a:lnTo>
              <a:lnTo>
                <a:pt x="16384" y="12412"/>
              </a:lnTo>
              <a:lnTo>
                <a:pt x="8192" y="16384"/>
              </a:lnTo>
              <a:lnTo>
                <a:pt x="0" y="12412"/>
              </a:lnTo>
              <a:close/>
            </a:path>
          </a:pathLst>
        </a:cu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190500</xdr:colOff>
      <xdr:row>4</xdr:row>
      <xdr:rowOff>21167</xdr:rowOff>
    </xdr:from>
    <xdr:to>
      <xdr:col>5</xdr:col>
      <xdr:colOff>539750</xdr:colOff>
      <xdr:row>4</xdr:row>
      <xdr:rowOff>317500</xdr:rowOff>
    </xdr:to>
    <xdr:sp macro="" textlink="">
      <xdr:nvSpPr>
        <xdr:cNvPr id="2" name="Down Arrow 1">
          <a:extLst>
            <a:ext uri="{FF2B5EF4-FFF2-40B4-BE49-F238E27FC236}">
              <a16:creationId xmlns:a16="http://schemas.microsoft.com/office/drawing/2014/main" id="{E033FE9A-70DE-43BD-9BEA-4D46EAAAED01}"/>
            </a:ext>
          </a:extLst>
        </xdr:cNvPr>
        <xdr:cNvSpPr/>
      </xdr:nvSpPr>
      <xdr:spPr bwMode="auto">
        <a:xfrm>
          <a:off x="11292417" y="1164167"/>
          <a:ext cx="349250" cy="296333"/>
        </a:xfrm>
        <a:prstGeom prst="downArrow">
          <a:avLst/>
        </a:prstGeom>
        <a:solidFill>
          <a:schemeClr val="accent2"/>
        </a:solid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A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317500</xdr:colOff>
      <xdr:row>8</xdr:row>
      <xdr:rowOff>452437</xdr:rowOff>
    </xdr:from>
    <xdr:to>
      <xdr:col>9</xdr:col>
      <xdr:colOff>666750</xdr:colOff>
      <xdr:row>9</xdr:row>
      <xdr:rowOff>431271</xdr:rowOff>
    </xdr:to>
    <xdr:sp macro="" textlink="">
      <xdr:nvSpPr>
        <xdr:cNvPr id="2" name="Down Arrow 1">
          <a:extLst>
            <a:ext uri="{FF2B5EF4-FFF2-40B4-BE49-F238E27FC236}">
              <a16:creationId xmlns:a16="http://schemas.microsoft.com/office/drawing/2014/main" id="{EB770176-4B7E-4588-BE2E-F84E509682A9}"/>
            </a:ext>
          </a:extLst>
        </xdr:cNvPr>
        <xdr:cNvSpPr/>
      </xdr:nvSpPr>
      <xdr:spPr bwMode="auto">
        <a:xfrm>
          <a:off x="10890250" y="3243262"/>
          <a:ext cx="349250" cy="550334"/>
        </a:xfrm>
        <a:prstGeom prst="downArrow">
          <a:avLst/>
        </a:prstGeom>
        <a:solidFill>
          <a:schemeClr val="tx1">
            <a:lumMod val="50000"/>
          </a:schemeClr>
        </a:solidFill>
        <a:ln w="9525" cap="flat" cmpd="sng" algn="ctr">
          <a:solidFill>
            <a:srgbClr val="FFFF99"/>
          </a:solidFill>
          <a:prstDash val="solid"/>
          <a:round/>
          <a:headEnd type="none" w="med" len="med"/>
          <a:tailEnd type="none" w="med" len="med"/>
        </a:ln>
        <a:effectLst/>
      </xdr:spPr>
      <xdr:txBody>
        <a:bodyPr vertOverflow="clip" horzOverflow="clip" wrap="square" lIns="18288" tIns="0" rIns="0" bIns="0" rtlCol="0" anchor="t" upright="1"/>
        <a:lstStyle/>
        <a:p>
          <a:pPr algn="l"/>
          <a:endParaRPr lang="en-AU"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51B9A2-4AB0-42F2-AA5E-F679C515E552}"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C9FC9F-0D45-4FBC-B69C-F9FC84FA42F0}" name="List1" displayName="List1" ref="J7:J14" totalsRowShown="0" headerRowDxfId="34" dataDxfId="33">
  <tableColumns count="1">
    <tableColumn id="1" xr3:uid="{6752A350-5D94-4A33-99EF-35E9C9BD0CAC}" name="Column1" dataDxfId="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01AAF9-CCF8-4590-95F8-A49DA7FF8417}" name="Table2" displayName="Table2" ref="E4:F16" totalsRowShown="0" headerRowDxfId="31" dataDxfId="30" tableBorderDxfId="29">
  <autoFilter ref="E4:F16" xr:uid="{00000000-0009-0000-0100-000002000000}"/>
  <tableColumns count="2">
    <tableColumn id="1" xr3:uid="{319ED0FB-8127-410F-A5A7-0E9F6997DB16}" name="Column1" dataDxfId="28"/>
    <tableColumn id="2" xr3:uid="{82555C54-17AF-4655-B75A-2B32C3BA0541}" name="Column2" dataDxfId="27"/>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55D8DD-022D-4A73-A887-A48565DAFB9E}" name="Table2_2" displayName="Table2_2" ref="A1:B13" tableType="queryTable" totalsRowShown="0" headerRowDxfId="26" dataDxfId="25">
  <autoFilter ref="A1:B13" xr:uid="{00000000-0009-0000-0100-000004000000}"/>
  <tableColumns count="2">
    <tableColumn id="1" xr3:uid="{DA1A9E7E-142E-4BC9-BD45-704445F2147A}" uniqueName="1" name="Column1" queryTableFieldId="1" dataDxfId="24"/>
    <tableColumn id="2" xr3:uid="{B33E06C4-1D59-4751-AC25-B5ECD62E2EF7}" uniqueName="2" name="Column2" queryTableFieldId="2" dataDxfId="23"/>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Debra_Theme">
      <a:dk1>
        <a:srgbClr val="1C1323"/>
      </a:dk1>
      <a:lt1>
        <a:srgbClr val="F2EDE6"/>
      </a:lt1>
      <a:dk2>
        <a:srgbClr val="2A1A2F"/>
      </a:dk2>
      <a:lt2>
        <a:srgbClr val="EDE3D6"/>
      </a:lt2>
      <a:accent1>
        <a:srgbClr val="C6A16E"/>
      </a:accent1>
      <a:accent2>
        <a:srgbClr val="D8B98A"/>
      </a:accent2>
      <a:accent3>
        <a:srgbClr val="A88458"/>
      </a:accent3>
      <a:accent4>
        <a:srgbClr val="3B2438"/>
      </a:accent4>
      <a:accent5>
        <a:srgbClr val="2A1A2F"/>
      </a:accent5>
      <a:accent6>
        <a:srgbClr val="F7F2EB"/>
      </a:accent6>
      <a:hlink>
        <a:srgbClr val="C6A16E"/>
      </a:hlink>
      <a:folHlink>
        <a:srgbClr val="A8845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to.gov.au/calculators-and-tools/home-office-expenses-calculator/"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to.gov.au/calculators-and-tools/home-office-expenses-calculator/"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to.gov.au/calculators-and-tools/home-office-expenses-calculator/"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23.bin"/><Relationship Id="rId5" Type="http://schemas.openxmlformats.org/officeDocument/2006/relationships/comments" Target="../comments4.xml"/><Relationship Id="rId4" Type="http://schemas.openxmlformats.org/officeDocument/2006/relationships/table" Target="../tables/table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24.bin"/><Relationship Id="rId4" Type="http://schemas.openxmlformats.org/officeDocument/2006/relationships/comments" Target="../comments5.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ato.gov.au/Rates/Individual-income-tax-rates/" TargetMode="External"/><Relationship Id="rId1" Type="http://schemas.openxmlformats.org/officeDocument/2006/relationships/hyperlink" Target="https://www.ato.gov.au/Rates/Consumer-price-index/" TargetMode="External"/><Relationship Id="rId4" Type="http://schemas.openxmlformats.org/officeDocument/2006/relationships/table" Target="../tables/table2.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C8AB-1BD4-4208-8398-1BB7FC14F1F8}">
  <sheetPr codeName="Sheet2">
    <tabColor theme="8"/>
    <pageSetUpPr fitToPage="1"/>
  </sheetPr>
  <dimension ref="B2:U40"/>
  <sheetViews>
    <sheetView zoomScale="115" zoomScaleNormal="115" workbookViewId="0">
      <selection activeCell="W25" sqref="W25"/>
    </sheetView>
  </sheetViews>
  <sheetFormatPr defaultColWidth="8.7109375" defaultRowHeight="13.9" customHeight="1"/>
  <cols>
    <col min="1" max="8" width="8.7109375" style="1"/>
    <col min="9" max="9" width="6.5703125" style="1" customWidth="1"/>
    <col min="10" max="16384" width="8.7109375" style="1"/>
  </cols>
  <sheetData>
    <row r="2" spans="2:21" ht="13.9" customHeight="1">
      <c r="B2" s="537" t="s">
        <v>449</v>
      </c>
      <c r="C2" s="537"/>
      <c r="D2" s="537"/>
      <c r="E2" s="537"/>
      <c r="F2" s="537"/>
      <c r="G2" s="537"/>
      <c r="H2" s="537"/>
      <c r="I2" s="537"/>
      <c r="J2" s="537"/>
      <c r="K2" s="537"/>
      <c r="L2" s="537"/>
      <c r="M2" s="537"/>
      <c r="N2" s="537"/>
      <c r="O2" s="537"/>
      <c r="P2" s="537"/>
      <c r="Q2" s="537"/>
      <c r="R2" s="537"/>
      <c r="S2" s="537"/>
      <c r="T2" s="537"/>
      <c r="U2" s="537"/>
    </row>
    <row r="3" spans="2:21" ht="13.9" customHeight="1">
      <c r="B3" s="537"/>
      <c r="C3" s="537"/>
      <c r="D3" s="537"/>
      <c r="E3" s="537"/>
      <c r="F3" s="537"/>
      <c r="G3" s="537"/>
      <c r="H3" s="537"/>
      <c r="I3" s="537"/>
      <c r="J3" s="537"/>
      <c r="K3" s="537"/>
      <c r="L3" s="537"/>
      <c r="M3" s="537"/>
      <c r="N3" s="537"/>
      <c r="O3" s="537"/>
      <c r="P3" s="537"/>
      <c r="Q3" s="537"/>
      <c r="R3" s="537"/>
      <c r="S3" s="537"/>
      <c r="T3" s="537"/>
      <c r="U3" s="537"/>
    </row>
    <row r="4" spans="2:21" ht="13.9" customHeight="1">
      <c r="B4" s="537"/>
      <c r="C4" s="537"/>
      <c r="D4" s="537"/>
      <c r="E4" s="537"/>
      <c r="F4" s="537"/>
      <c r="G4" s="537"/>
      <c r="H4" s="537"/>
      <c r="I4" s="537"/>
      <c r="J4" s="537"/>
      <c r="K4" s="537"/>
      <c r="L4" s="537"/>
      <c r="M4" s="537"/>
      <c r="N4" s="537"/>
      <c r="O4" s="537"/>
      <c r="P4" s="537"/>
      <c r="Q4" s="537"/>
      <c r="R4" s="537"/>
      <c r="S4" s="537"/>
      <c r="T4" s="537"/>
      <c r="U4" s="537"/>
    </row>
    <row r="5" spans="2:21" ht="13.9" customHeight="1">
      <c r="B5" s="537"/>
      <c r="C5" s="537"/>
      <c r="D5" s="537"/>
      <c r="E5" s="537"/>
      <c r="F5" s="537"/>
      <c r="G5" s="537"/>
      <c r="H5" s="537"/>
      <c r="I5" s="537"/>
      <c r="J5" s="537"/>
      <c r="K5" s="537"/>
      <c r="L5" s="537"/>
      <c r="M5" s="537"/>
      <c r="N5" s="537"/>
      <c r="O5" s="537"/>
      <c r="P5" s="537"/>
      <c r="Q5" s="537"/>
      <c r="R5" s="537"/>
      <c r="S5" s="537"/>
      <c r="T5" s="537"/>
      <c r="U5" s="537"/>
    </row>
    <row r="6" spans="2:21" ht="13.9" customHeight="1">
      <c r="B6" s="537"/>
      <c r="C6" s="537"/>
      <c r="D6" s="537"/>
      <c r="E6" s="537"/>
      <c r="F6" s="537"/>
      <c r="G6" s="537"/>
      <c r="H6" s="537"/>
      <c r="I6" s="537"/>
      <c r="J6" s="537"/>
      <c r="K6" s="537"/>
      <c r="L6" s="537"/>
      <c r="M6" s="537"/>
      <c r="N6" s="537"/>
      <c r="O6" s="537"/>
      <c r="P6" s="537"/>
      <c r="Q6" s="537"/>
      <c r="R6" s="537"/>
      <c r="S6" s="537"/>
      <c r="T6" s="537"/>
      <c r="U6" s="537"/>
    </row>
    <row r="7" spans="2:21" ht="13.9" customHeight="1">
      <c r="B7" s="537"/>
      <c r="C7" s="537"/>
      <c r="D7" s="537"/>
      <c r="E7" s="537"/>
      <c r="F7" s="537"/>
      <c r="G7" s="537"/>
      <c r="H7" s="537"/>
      <c r="I7" s="537"/>
      <c r="J7" s="537"/>
      <c r="K7" s="537"/>
      <c r="L7" s="537"/>
      <c r="M7" s="537"/>
      <c r="N7" s="537"/>
      <c r="O7" s="537"/>
      <c r="P7" s="537"/>
      <c r="Q7" s="537"/>
      <c r="R7" s="537"/>
      <c r="S7" s="537"/>
      <c r="T7" s="537"/>
      <c r="U7" s="537"/>
    </row>
    <row r="8" spans="2:21" ht="13.9" customHeight="1">
      <c r="B8" s="537"/>
      <c r="C8" s="537"/>
      <c r="D8" s="537"/>
      <c r="E8" s="537"/>
      <c r="F8" s="537"/>
      <c r="G8" s="537"/>
      <c r="H8" s="537"/>
      <c r="I8" s="537"/>
      <c r="J8" s="537"/>
      <c r="K8" s="537"/>
      <c r="L8" s="537"/>
      <c r="M8" s="537"/>
      <c r="N8" s="537"/>
      <c r="O8" s="537"/>
      <c r="P8" s="537"/>
      <c r="Q8" s="537"/>
      <c r="R8" s="537"/>
      <c r="S8" s="537"/>
      <c r="T8" s="537"/>
      <c r="U8" s="537"/>
    </row>
    <row r="9" spans="2:21" ht="13.9" customHeight="1">
      <c r="B9" s="537"/>
      <c r="C9" s="537"/>
      <c r="D9" s="537"/>
      <c r="E9" s="537"/>
      <c r="F9" s="537"/>
      <c r="G9" s="537"/>
      <c r="H9" s="537"/>
      <c r="I9" s="537"/>
      <c r="J9" s="537"/>
      <c r="K9" s="537"/>
      <c r="L9" s="537"/>
      <c r="M9" s="537"/>
      <c r="N9" s="537"/>
      <c r="O9" s="537"/>
      <c r="P9" s="537"/>
      <c r="Q9" s="537"/>
      <c r="R9" s="537"/>
      <c r="S9" s="537"/>
      <c r="T9" s="537"/>
      <c r="U9" s="537"/>
    </row>
    <row r="10" spans="2:21" ht="13.9" customHeight="1" thickBot="1">
      <c r="B10" s="400"/>
      <c r="C10" s="400"/>
      <c r="D10" s="400"/>
      <c r="E10" s="400"/>
      <c r="F10" s="400"/>
      <c r="G10" s="400"/>
      <c r="H10" s="400"/>
      <c r="I10" s="400"/>
      <c r="J10" s="400"/>
      <c r="K10" s="400"/>
      <c r="L10" s="400"/>
      <c r="M10" s="400"/>
      <c r="N10" s="400"/>
      <c r="O10" s="400"/>
      <c r="P10" s="400"/>
      <c r="Q10" s="400"/>
      <c r="R10" s="400"/>
      <c r="S10" s="400"/>
      <c r="T10" s="400"/>
      <c r="U10" s="400"/>
    </row>
    <row r="11" spans="2:21" ht="13.9" customHeight="1">
      <c r="B11" s="400"/>
      <c r="C11" s="400"/>
      <c r="D11" s="400"/>
      <c r="E11" s="400"/>
      <c r="F11" s="400"/>
      <c r="G11" s="400"/>
      <c r="H11" s="400"/>
      <c r="I11" s="400"/>
      <c r="J11" s="401"/>
      <c r="K11" s="402"/>
      <c r="L11" s="402"/>
      <c r="M11" s="402"/>
      <c r="N11" s="402"/>
      <c r="O11" s="402"/>
      <c r="P11" s="402"/>
      <c r="Q11" s="402"/>
      <c r="R11" s="402"/>
      <c r="S11" s="402"/>
      <c r="T11" s="402"/>
      <c r="U11" s="403"/>
    </row>
    <row r="12" spans="2:21" ht="13.9" customHeight="1">
      <c r="H12" s="404"/>
      <c r="I12" s="404"/>
      <c r="J12" s="405"/>
      <c r="K12" s="400"/>
      <c r="L12" s="400"/>
      <c r="M12" s="400"/>
      <c r="N12" s="400"/>
      <c r="O12" s="400"/>
      <c r="P12" s="400"/>
      <c r="Q12" s="400"/>
      <c r="R12" s="400"/>
      <c r="S12" s="400"/>
      <c r="T12" s="400"/>
      <c r="U12" s="406"/>
    </row>
    <row r="13" spans="2:21" ht="13.9" customHeight="1" thickBot="1">
      <c r="B13" s="404"/>
      <c r="C13" s="404"/>
      <c r="D13" s="404"/>
      <c r="E13" s="404"/>
      <c r="F13" s="404"/>
      <c r="G13" s="404"/>
      <c r="H13" s="404"/>
      <c r="I13" s="404"/>
      <c r="J13" s="405"/>
      <c r="K13" s="400"/>
      <c r="L13" s="400"/>
      <c r="M13" s="400"/>
      <c r="N13" s="400"/>
      <c r="O13" s="400"/>
      <c r="P13" s="400"/>
      <c r="Q13" s="400"/>
      <c r="R13" s="400"/>
      <c r="S13" s="400"/>
      <c r="T13" s="400"/>
      <c r="U13" s="406"/>
    </row>
    <row r="14" spans="2:21" ht="13.9" customHeight="1">
      <c r="B14" s="538" t="s">
        <v>450</v>
      </c>
      <c r="C14" s="539"/>
      <c r="D14" s="539"/>
      <c r="E14" s="539"/>
      <c r="F14" s="539"/>
      <c r="G14" s="539"/>
      <c r="H14" s="540"/>
      <c r="I14" s="400"/>
      <c r="J14" s="405"/>
      <c r="K14" s="400"/>
      <c r="L14" s="400"/>
      <c r="M14" s="400"/>
      <c r="N14" s="400"/>
      <c r="O14" s="400"/>
      <c r="P14" s="400"/>
      <c r="Q14" s="400"/>
      <c r="R14" s="400"/>
      <c r="S14" s="400"/>
      <c r="T14" s="400"/>
      <c r="U14" s="406"/>
    </row>
    <row r="15" spans="2:21" ht="13.9" customHeight="1" thickBot="1">
      <c r="B15" s="541"/>
      <c r="C15" s="542"/>
      <c r="D15" s="542"/>
      <c r="E15" s="542"/>
      <c r="F15" s="542"/>
      <c r="G15" s="542"/>
      <c r="H15" s="543"/>
      <c r="I15" s="408"/>
      <c r="J15" s="405"/>
      <c r="K15" s="400"/>
      <c r="L15" s="400"/>
      <c r="M15" s="400"/>
      <c r="N15" s="400"/>
      <c r="O15" s="400"/>
      <c r="P15" s="400"/>
      <c r="Q15" s="400"/>
      <c r="R15" s="400"/>
      <c r="S15" s="400"/>
      <c r="T15" s="400"/>
      <c r="U15" s="406"/>
    </row>
    <row r="16" spans="2:21" ht="13.9" customHeight="1" thickBot="1">
      <c r="B16" s="400"/>
      <c r="C16" s="400"/>
      <c r="D16" s="400"/>
      <c r="E16" s="400"/>
      <c r="F16" s="400"/>
      <c r="G16" s="400"/>
      <c r="H16" s="400"/>
      <c r="I16" s="408"/>
      <c r="J16" s="405"/>
      <c r="K16" s="400"/>
      <c r="L16" s="400"/>
      <c r="M16" s="400"/>
      <c r="N16" s="400"/>
      <c r="O16" s="400"/>
      <c r="P16" s="400"/>
      <c r="Q16" s="400"/>
      <c r="R16" s="400"/>
      <c r="S16" s="400"/>
      <c r="T16" s="400"/>
      <c r="U16" s="406"/>
    </row>
    <row r="17" spans="2:21" ht="13.9" customHeight="1">
      <c r="B17" s="553" t="s">
        <v>451</v>
      </c>
      <c r="C17" s="554"/>
      <c r="D17" s="554"/>
      <c r="E17" s="554"/>
      <c r="F17" s="554"/>
      <c r="G17" s="554"/>
      <c r="H17" s="555"/>
      <c r="I17" s="408"/>
      <c r="J17" s="405"/>
      <c r="K17" s="400"/>
      <c r="L17" s="400"/>
      <c r="M17" s="400"/>
      <c r="N17" s="400"/>
      <c r="O17" s="400"/>
      <c r="P17" s="400"/>
      <c r="Q17" s="400"/>
      <c r="R17" s="400"/>
      <c r="S17" s="400"/>
      <c r="T17" s="400"/>
      <c r="U17" s="406"/>
    </row>
    <row r="18" spans="2:21" ht="13.9" customHeight="1">
      <c r="B18" s="556"/>
      <c r="C18" s="557"/>
      <c r="D18" s="557"/>
      <c r="E18" s="557"/>
      <c r="F18" s="557"/>
      <c r="G18" s="557"/>
      <c r="H18" s="558"/>
      <c r="I18" s="408"/>
      <c r="J18" s="405"/>
      <c r="K18" s="400"/>
      <c r="L18" s="400"/>
      <c r="M18" s="400"/>
      <c r="N18" s="400"/>
      <c r="O18" s="400"/>
      <c r="P18" s="400"/>
      <c r="Q18" s="400"/>
      <c r="R18" s="400"/>
      <c r="S18" s="400"/>
      <c r="T18" s="400"/>
      <c r="U18" s="406"/>
    </row>
    <row r="19" spans="2:21" ht="13.9" customHeight="1">
      <c r="B19" s="556"/>
      <c r="C19" s="557"/>
      <c r="D19" s="557"/>
      <c r="E19" s="557"/>
      <c r="F19" s="557"/>
      <c r="G19" s="557"/>
      <c r="H19" s="558"/>
      <c r="I19" s="408"/>
      <c r="J19" s="405"/>
      <c r="K19" s="400"/>
      <c r="L19" s="400"/>
      <c r="M19" s="400"/>
      <c r="N19" s="400"/>
      <c r="O19" s="400"/>
      <c r="P19" s="400"/>
      <c r="Q19" s="400"/>
      <c r="R19" s="400"/>
      <c r="S19" s="400"/>
      <c r="T19" s="400"/>
      <c r="U19" s="406"/>
    </row>
    <row r="20" spans="2:21" ht="13.9" customHeight="1">
      <c r="B20" s="556"/>
      <c r="C20" s="557"/>
      <c r="D20" s="557"/>
      <c r="E20" s="557"/>
      <c r="F20" s="557"/>
      <c r="G20" s="557"/>
      <c r="H20" s="558"/>
      <c r="I20" s="408"/>
      <c r="J20" s="405"/>
      <c r="K20" s="400"/>
      <c r="L20" s="400"/>
      <c r="M20" s="400"/>
      <c r="N20" s="400"/>
      <c r="O20" s="400"/>
      <c r="P20" s="400"/>
      <c r="Q20" s="400"/>
      <c r="R20" s="400"/>
      <c r="S20" s="400"/>
      <c r="T20" s="400"/>
      <c r="U20" s="406"/>
    </row>
    <row r="21" spans="2:21" ht="13.9" customHeight="1">
      <c r="B21" s="556"/>
      <c r="C21" s="557"/>
      <c r="D21" s="557"/>
      <c r="E21" s="557"/>
      <c r="F21" s="557"/>
      <c r="G21" s="557"/>
      <c r="H21" s="558"/>
      <c r="I21" s="408"/>
      <c r="J21" s="405"/>
      <c r="K21" s="400"/>
      <c r="L21" s="400"/>
      <c r="M21" s="400"/>
      <c r="N21" s="400"/>
      <c r="O21" s="400"/>
      <c r="P21" s="400"/>
      <c r="Q21" s="400"/>
      <c r="R21" s="400"/>
      <c r="S21" s="400"/>
      <c r="T21" s="400"/>
      <c r="U21" s="406"/>
    </row>
    <row r="22" spans="2:21" ht="13.9" customHeight="1">
      <c r="B22" s="556"/>
      <c r="C22" s="557"/>
      <c r="D22" s="557"/>
      <c r="E22" s="557"/>
      <c r="F22" s="557"/>
      <c r="G22" s="557"/>
      <c r="H22" s="558"/>
      <c r="I22" s="400"/>
      <c r="J22" s="405"/>
      <c r="K22" s="400"/>
      <c r="L22" s="400"/>
      <c r="M22" s="400"/>
      <c r="N22" s="400"/>
      <c r="O22" s="400"/>
      <c r="P22" s="400"/>
      <c r="Q22" s="400"/>
      <c r="R22" s="400"/>
      <c r="S22" s="400"/>
      <c r="T22" s="400"/>
      <c r="U22" s="406"/>
    </row>
    <row r="23" spans="2:21" ht="13.9" customHeight="1" thickBot="1">
      <c r="B23" s="559"/>
      <c r="C23" s="560"/>
      <c r="D23" s="560"/>
      <c r="E23" s="560"/>
      <c r="F23" s="560"/>
      <c r="G23" s="560"/>
      <c r="H23" s="561"/>
      <c r="I23" s="407"/>
      <c r="J23" s="405"/>
      <c r="K23" s="400"/>
      <c r="L23" s="400"/>
      <c r="M23" s="400"/>
      <c r="N23" s="400"/>
      <c r="O23" s="400"/>
      <c r="P23" s="400"/>
      <c r="Q23" s="400"/>
      <c r="R23" s="400"/>
      <c r="S23" s="400"/>
      <c r="T23" s="400"/>
      <c r="U23" s="406"/>
    </row>
    <row r="24" spans="2:21" ht="13.9" customHeight="1">
      <c r="B24" s="400"/>
      <c r="C24" s="400"/>
      <c r="D24" s="400"/>
      <c r="E24" s="400"/>
      <c r="F24" s="400"/>
      <c r="G24" s="400"/>
      <c r="H24" s="400"/>
      <c r="I24" s="407"/>
      <c r="J24" s="405"/>
      <c r="K24" s="400"/>
      <c r="L24" s="400"/>
      <c r="M24" s="400"/>
      <c r="N24" s="400"/>
      <c r="O24" s="400"/>
      <c r="P24" s="400"/>
      <c r="Q24" s="400"/>
      <c r="R24" s="400"/>
      <c r="S24" s="400"/>
      <c r="T24" s="400"/>
      <c r="U24" s="406"/>
    </row>
    <row r="25" spans="2:21" ht="13.9" customHeight="1" thickBot="1">
      <c r="B25" s="400"/>
      <c r="C25" s="400"/>
      <c r="D25" s="400"/>
      <c r="E25" s="400"/>
      <c r="F25" s="400"/>
      <c r="G25" s="400"/>
      <c r="H25" s="400"/>
      <c r="I25" s="407"/>
      <c r="J25" s="405"/>
      <c r="K25" s="400"/>
      <c r="L25" s="400"/>
      <c r="M25" s="400"/>
      <c r="N25" s="400"/>
      <c r="O25" s="400"/>
      <c r="P25" s="400"/>
      <c r="Q25" s="400"/>
      <c r="R25" s="400"/>
      <c r="S25" s="400"/>
      <c r="T25" s="400"/>
      <c r="U25" s="406"/>
    </row>
    <row r="26" spans="2:21" ht="13.9" customHeight="1">
      <c r="B26" s="544" t="s">
        <v>452</v>
      </c>
      <c r="C26" s="545"/>
      <c r="D26" s="545"/>
      <c r="E26" s="545"/>
      <c r="F26" s="545"/>
      <c r="G26" s="545"/>
      <c r="H26" s="546"/>
      <c r="I26" s="400"/>
      <c r="J26" s="405"/>
      <c r="K26" s="400"/>
      <c r="L26" s="400"/>
      <c r="M26" s="400"/>
      <c r="N26" s="400"/>
      <c r="O26" s="400"/>
      <c r="P26" s="400"/>
      <c r="Q26" s="400"/>
      <c r="R26" s="400"/>
      <c r="S26" s="400"/>
      <c r="T26" s="400"/>
      <c r="U26" s="406"/>
    </row>
    <row r="27" spans="2:21" ht="13.9" customHeight="1">
      <c r="B27" s="547"/>
      <c r="C27" s="548"/>
      <c r="D27" s="548"/>
      <c r="E27" s="548"/>
      <c r="F27" s="548"/>
      <c r="G27" s="548"/>
      <c r="H27" s="549"/>
      <c r="I27" s="400"/>
      <c r="J27" s="405"/>
      <c r="K27" s="400"/>
      <c r="L27" s="400"/>
      <c r="M27" s="400"/>
      <c r="N27" s="400"/>
      <c r="O27" s="400"/>
      <c r="P27" s="400"/>
      <c r="Q27" s="400"/>
      <c r="R27" s="400"/>
      <c r="S27" s="400"/>
      <c r="T27" s="400"/>
      <c r="U27" s="406"/>
    </row>
    <row r="28" spans="2:21" ht="13.9" customHeight="1">
      <c r="B28" s="547"/>
      <c r="C28" s="548"/>
      <c r="D28" s="548"/>
      <c r="E28" s="548"/>
      <c r="F28" s="548"/>
      <c r="G28" s="548"/>
      <c r="H28" s="549"/>
      <c r="I28" s="400"/>
      <c r="J28" s="405"/>
      <c r="K28" s="400"/>
      <c r="L28" s="400"/>
      <c r="M28" s="400"/>
      <c r="N28" s="400"/>
      <c r="O28" s="400"/>
      <c r="P28" s="400"/>
      <c r="Q28" s="400"/>
      <c r="R28" s="400"/>
      <c r="S28" s="400"/>
      <c r="T28" s="400"/>
      <c r="U28" s="406"/>
    </row>
    <row r="29" spans="2:21" ht="13.9" customHeight="1" thickBot="1">
      <c r="B29" s="550"/>
      <c r="C29" s="551"/>
      <c r="D29" s="551"/>
      <c r="E29" s="551"/>
      <c r="F29" s="551"/>
      <c r="G29" s="551"/>
      <c r="H29" s="552"/>
      <c r="I29" s="400"/>
      <c r="J29" s="405"/>
      <c r="K29" s="400"/>
      <c r="L29" s="400"/>
      <c r="M29" s="400"/>
      <c r="N29" s="400"/>
      <c r="O29" s="400"/>
      <c r="P29" s="400"/>
      <c r="Q29" s="400"/>
      <c r="R29" s="400"/>
      <c r="S29" s="400"/>
      <c r="T29" s="400"/>
      <c r="U29" s="406"/>
    </row>
    <row r="30" spans="2:21" ht="13.9" customHeight="1">
      <c r="B30" s="400"/>
      <c r="C30" s="400"/>
      <c r="D30" s="400"/>
      <c r="E30" s="400"/>
      <c r="F30" s="400"/>
      <c r="G30" s="400"/>
      <c r="H30" s="400"/>
      <c r="I30" s="400"/>
      <c r="J30" s="405"/>
      <c r="K30" s="400"/>
      <c r="L30" s="400"/>
      <c r="M30" s="400"/>
      <c r="N30" s="400"/>
      <c r="O30" s="400"/>
      <c r="P30" s="400"/>
      <c r="Q30" s="400"/>
      <c r="R30" s="400"/>
      <c r="S30" s="400"/>
      <c r="T30" s="400"/>
      <c r="U30" s="406"/>
    </row>
    <row r="31" spans="2:21" ht="13.9" customHeight="1">
      <c r="B31" s="400"/>
      <c r="C31" s="400"/>
      <c r="D31" s="400"/>
      <c r="E31" s="400"/>
      <c r="F31" s="400"/>
      <c r="G31" s="400"/>
      <c r="H31" s="400"/>
      <c r="I31" s="400"/>
      <c r="J31" s="405"/>
      <c r="K31" s="400"/>
      <c r="L31" s="400"/>
      <c r="M31" s="400"/>
      <c r="N31" s="400"/>
      <c r="O31" s="400"/>
      <c r="P31" s="400"/>
      <c r="Q31" s="400"/>
      <c r="R31" s="400"/>
      <c r="S31" s="400"/>
      <c r="T31" s="400"/>
      <c r="U31" s="406"/>
    </row>
    <row r="32" spans="2:21" ht="13.9" customHeight="1">
      <c r="B32" s="400"/>
      <c r="C32" s="400"/>
      <c r="D32" s="400"/>
      <c r="E32" s="400"/>
      <c r="F32" s="400"/>
      <c r="G32" s="400"/>
      <c r="H32" s="400"/>
      <c r="I32" s="400"/>
      <c r="J32" s="405"/>
      <c r="K32" s="400"/>
      <c r="L32" s="400"/>
      <c r="M32" s="400"/>
      <c r="N32" s="400"/>
      <c r="O32" s="400"/>
      <c r="P32" s="400"/>
      <c r="Q32" s="400"/>
      <c r="R32" s="400"/>
      <c r="S32" s="400"/>
      <c r="T32" s="400"/>
      <c r="U32" s="406"/>
    </row>
    <row r="33" spans="2:21" ht="13.9" customHeight="1">
      <c r="B33" s="400"/>
      <c r="C33" s="400"/>
      <c r="D33" s="400"/>
      <c r="E33" s="400"/>
      <c r="F33" s="400"/>
      <c r="G33" s="400"/>
      <c r="H33" s="400"/>
      <c r="I33" s="400"/>
      <c r="J33" s="405"/>
      <c r="K33" s="400"/>
      <c r="L33" s="400"/>
      <c r="M33" s="400"/>
      <c r="N33" s="400"/>
      <c r="O33" s="400"/>
      <c r="P33" s="400"/>
      <c r="Q33" s="400"/>
      <c r="R33" s="400"/>
      <c r="S33" s="400"/>
      <c r="T33" s="400"/>
      <c r="U33" s="406"/>
    </row>
    <row r="34" spans="2:21" ht="13.9" customHeight="1" thickBot="1">
      <c r="B34" s="400"/>
      <c r="C34" s="400"/>
      <c r="D34" s="400"/>
      <c r="E34" s="400"/>
      <c r="F34" s="400"/>
      <c r="G34" s="400"/>
      <c r="H34" s="409"/>
      <c r="I34" s="400"/>
      <c r="J34" s="410"/>
      <c r="K34" s="411"/>
      <c r="L34" s="411"/>
      <c r="M34" s="411"/>
      <c r="N34" s="411"/>
      <c r="O34" s="411"/>
      <c r="P34" s="411"/>
      <c r="Q34" s="411"/>
      <c r="R34" s="411"/>
      <c r="S34" s="411"/>
      <c r="T34" s="411"/>
      <c r="U34" s="412"/>
    </row>
    <row r="35" spans="2:21" ht="13.9" customHeight="1">
      <c r="B35" s="400"/>
      <c r="C35" s="400"/>
      <c r="D35" s="400"/>
      <c r="E35" s="400"/>
      <c r="F35" s="400"/>
      <c r="G35" s="400"/>
      <c r="H35" s="400"/>
      <c r="I35" s="400"/>
      <c r="J35" s="400"/>
      <c r="K35" s="400"/>
      <c r="L35" s="400"/>
      <c r="M35" s="400"/>
      <c r="N35" s="400"/>
      <c r="O35" s="400"/>
      <c r="P35" s="400"/>
      <c r="Q35" s="400"/>
      <c r="R35" s="400"/>
      <c r="S35" s="400"/>
      <c r="T35" s="400"/>
      <c r="U35" s="400"/>
    </row>
    <row r="36" spans="2:21" ht="13.9" customHeight="1">
      <c r="B36" s="400"/>
      <c r="C36" s="400"/>
      <c r="D36" s="400"/>
      <c r="E36" s="400"/>
      <c r="F36" s="400"/>
      <c r="G36" s="400"/>
      <c r="H36" s="400"/>
      <c r="I36" s="400"/>
      <c r="J36" s="400"/>
      <c r="K36" s="400"/>
      <c r="L36" s="400"/>
      <c r="M36" s="400"/>
      <c r="N36" s="400"/>
      <c r="O36" s="400"/>
      <c r="P36" s="400"/>
      <c r="Q36" s="400"/>
      <c r="R36" s="400"/>
      <c r="S36" s="400"/>
      <c r="T36" s="400"/>
      <c r="U36" s="400"/>
    </row>
    <row r="40" spans="2:21" ht="13.9" customHeight="1">
      <c r="H40" s="1" t="s">
        <v>470</v>
      </c>
    </row>
  </sheetData>
  <sheetProtection formatCells="0" formatColumns="0" formatRows="0" insertColumns="0" insertRows="0" insertHyperlinks="0" deleteColumns="0" deleteRows="0" sort="0" autoFilter="0" pivotTables="0"/>
  <mergeCells count="4">
    <mergeCell ref="B2:U9"/>
    <mergeCell ref="B14:H15"/>
    <mergeCell ref="B26:H29"/>
    <mergeCell ref="B17:H23"/>
  </mergeCells>
  <pageMargins left="0.25" right="0.25" top="0.75" bottom="0.75" header="0.3" footer="0.3"/>
  <pageSetup scale="77" orientation="landscape" horizontalDpi="1200" verticalDpi="1200" r:id="rId1"/>
  <headerFooter>
    <oddHeader>&amp;L&amp;A&amp;CSelf-Employment Assistance</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6A17-7FA8-44DC-9BEF-CFD7027F5BD4}">
  <sheetPr codeName="Sheet6">
    <tabColor theme="7"/>
    <pageSetUpPr fitToPage="1"/>
  </sheetPr>
  <dimension ref="A1:T35"/>
  <sheetViews>
    <sheetView zoomScale="85" zoomScaleNormal="85" workbookViewId="0">
      <selection activeCell="B28" sqref="B28"/>
    </sheetView>
  </sheetViews>
  <sheetFormatPr defaultColWidth="9.28515625" defaultRowHeight="12.75"/>
  <cols>
    <col min="1" max="1" width="8.7109375" style="1" customWidth="1"/>
    <col min="2" max="2" width="159.7109375" style="1" customWidth="1"/>
    <col min="3" max="3" width="0.28515625" style="1" customWidth="1"/>
    <col min="4" max="9" width="9.28515625" style="1" hidden="1" customWidth="1"/>
    <col min="10" max="10" width="7.5703125" style="1" hidden="1" customWidth="1"/>
    <col min="11" max="15" width="9.28515625" style="1" hidden="1" customWidth="1"/>
    <col min="16" max="16" width="8.28515625" style="1" hidden="1" customWidth="1"/>
    <col min="17" max="20" width="9.28515625" style="1" hidden="1" customWidth="1"/>
    <col min="21" max="16384" width="9.28515625" style="1"/>
  </cols>
  <sheetData>
    <row r="1" spans="1:20" ht="12.75" customHeight="1">
      <c r="A1" s="537" t="s">
        <v>449</v>
      </c>
      <c r="B1" s="537"/>
      <c r="C1" s="537"/>
      <c r="D1" s="537"/>
      <c r="E1" s="537"/>
      <c r="F1" s="537"/>
      <c r="G1" s="537"/>
      <c r="H1" s="537"/>
      <c r="I1" s="537"/>
      <c r="J1" s="537"/>
      <c r="K1" s="537"/>
      <c r="L1" s="537"/>
      <c r="M1" s="537"/>
      <c r="N1" s="537"/>
      <c r="O1" s="537"/>
      <c r="P1" s="537"/>
      <c r="Q1" s="537"/>
      <c r="R1" s="537"/>
      <c r="S1" s="537"/>
      <c r="T1" s="537"/>
    </row>
    <row r="2" spans="1:20">
      <c r="A2" s="537"/>
      <c r="B2" s="537"/>
      <c r="C2" s="537"/>
      <c r="D2" s="537"/>
      <c r="E2" s="537"/>
      <c r="F2" s="537"/>
      <c r="G2" s="537"/>
      <c r="H2" s="537"/>
      <c r="I2" s="537"/>
      <c r="J2" s="537"/>
      <c r="K2" s="537"/>
      <c r="L2" s="537"/>
      <c r="M2" s="537"/>
      <c r="N2" s="537"/>
      <c r="O2" s="537"/>
      <c r="P2" s="537"/>
      <c r="Q2" s="537"/>
      <c r="R2" s="537"/>
      <c r="S2" s="537"/>
      <c r="T2" s="537"/>
    </row>
    <row r="3" spans="1:20" ht="22.15" customHeight="1">
      <c r="A3" s="537"/>
      <c r="B3" s="537"/>
      <c r="C3" s="537"/>
      <c r="D3" s="537"/>
      <c r="E3" s="537"/>
      <c r="F3" s="537"/>
      <c r="G3" s="537"/>
      <c r="H3" s="537"/>
      <c r="I3" s="537"/>
      <c r="J3" s="537"/>
      <c r="K3" s="537"/>
      <c r="L3" s="537"/>
      <c r="M3" s="537"/>
      <c r="N3" s="537"/>
      <c r="O3" s="537"/>
      <c r="P3" s="537"/>
      <c r="Q3" s="537"/>
      <c r="R3" s="537"/>
      <c r="S3" s="537"/>
      <c r="T3" s="537"/>
    </row>
    <row r="4" spans="1:20">
      <c r="A4" s="537"/>
      <c r="B4" s="537"/>
      <c r="C4" s="537"/>
      <c r="D4" s="537"/>
      <c r="E4" s="537"/>
      <c r="F4" s="537"/>
      <c r="G4" s="537"/>
      <c r="H4" s="537"/>
      <c r="I4" s="537"/>
      <c r="J4" s="537"/>
      <c r="K4" s="537"/>
      <c r="L4" s="537"/>
      <c r="M4" s="537"/>
      <c r="N4" s="537"/>
      <c r="O4" s="537"/>
      <c r="P4" s="537"/>
      <c r="Q4" s="537"/>
      <c r="R4" s="537"/>
      <c r="S4" s="537"/>
      <c r="T4" s="537"/>
    </row>
    <row r="5" spans="1:20" ht="22.15" customHeight="1">
      <c r="A5" s="537"/>
      <c r="B5" s="537"/>
      <c r="C5" s="537"/>
      <c r="D5" s="537"/>
      <c r="E5" s="537"/>
      <c r="F5" s="537"/>
      <c r="G5" s="537"/>
      <c r="H5" s="537"/>
      <c r="I5" s="537"/>
      <c r="J5" s="537"/>
      <c r="K5" s="537"/>
      <c r="L5" s="537"/>
      <c r="M5" s="537"/>
      <c r="N5" s="537"/>
      <c r="O5" s="537"/>
      <c r="P5" s="537"/>
      <c r="Q5" s="537"/>
      <c r="R5" s="537"/>
      <c r="S5" s="537"/>
      <c r="T5" s="537"/>
    </row>
    <row r="6" spans="1:20">
      <c r="A6" s="537"/>
      <c r="B6" s="537"/>
      <c r="C6" s="537"/>
      <c r="D6" s="537"/>
      <c r="E6" s="537"/>
      <c r="F6" s="537"/>
      <c r="G6" s="537"/>
      <c r="H6" s="537"/>
      <c r="I6" s="537"/>
      <c r="J6" s="537"/>
      <c r="K6" s="537"/>
      <c r="L6" s="537"/>
      <c r="M6" s="537"/>
      <c r="N6" s="537"/>
      <c r="O6" s="537"/>
      <c r="P6" s="537"/>
      <c r="Q6" s="537"/>
      <c r="R6" s="537"/>
      <c r="S6" s="537"/>
      <c r="T6" s="537"/>
    </row>
    <row r="7" spans="1:20">
      <c r="A7" s="537"/>
      <c r="B7" s="537"/>
      <c r="C7" s="537"/>
      <c r="D7" s="537"/>
      <c r="E7" s="537"/>
      <c r="F7" s="537"/>
      <c r="G7" s="537"/>
      <c r="H7" s="537"/>
      <c r="I7" s="537"/>
      <c r="J7" s="537"/>
      <c r="K7" s="537"/>
      <c r="L7" s="537"/>
      <c r="M7" s="537"/>
      <c r="N7" s="537"/>
      <c r="O7" s="537"/>
      <c r="P7" s="537"/>
      <c r="Q7" s="537"/>
      <c r="R7" s="537"/>
      <c r="S7" s="537"/>
      <c r="T7" s="537"/>
    </row>
    <row r="8" spans="1:20">
      <c r="A8" s="537"/>
      <c r="B8" s="537"/>
      <c r="C8" s="537"/>
      <c r="D8" s="537"/>
      <c r="E8" s="537"/>
      <c r="F8" s="537"/>
      <c r="G8" s="537"/>
      <c r="H8" s="537"/>
      <c r="I8" s="537"/>
      <c r="J8" s="537"/>
      <c r="K8" s="537"/>
      <c r="L8" s="537"/>
      <c r="M8" s="537"/>
      <c r="N8" s="537"/>
      <c r="O8" s="537"/>
      <c r="P8" s="537"/>
      <c r="Q8" s="537"/>
      <c r="R8" s="537"/>
      <c r="S8" s="537"/>
      <c r="T8" s="537"/>
    </row>
    <row r="9" spans="1:20" ht="13.5" thickBot="1">
      <c r="A9" s="566"/>
      <c r="B9" s="566"/>
    </row>
    <row r="10" spans="1:20" ht="76.5" customHeight="1" thickBot="1">
      <c r="A10" s="567" t="s">
        <v>448</v>
      </c>
      <c r="B10" s="568"/>
    </row>
    <row r="11" spans="1:20" ht="22.5" customHeight="1" thickBot="1">
      <c r="A11" s="569" t="s">
        <v>0</v>
      </c>
      <c r="B11" s="570"/>
    </row>
    <row r="12" spans="1:20" ht="105" customHeight="1" thickBot="1">
      <c r="A12" s="571" t="s">
        <v>453</v>
      </c>
      <c r="B12" s="572"/>
    </row>
    <row r="13" spans="1:20" ht="15.75" thickBot="1">
      <c r="A13" s="573" t="s">
        <v>1</v>
      </c>
      <c r="B13" s="574"/>
    </row>
    <row r="14" spans="1:20" ht="13.5" thickBot="1">
      <c r="A14" s="575" t="s">
        <v>2</v>
      </c>
      <c r="B14" s="576"/>
    </row>
    <row r="15" spans="1:20">
      <c r="A15" s="564"/>
      <c r="B15" s="565"/>
    </row>
    <row r="16" spans="1:20">
      <c r="A16" s="2" t="s">
        <v>3</v>
      </c>
      <c r="B16" s="413" t="s">
        <v>4</v>
      </c>
    </row>
    <row r="17" spans="1:6" ht="8.25" customHeight="1">
      <c r="A17" s="562"/>
      <c r="B17" s="563"/>
    </row>
    <row r="18" spans="1:6" ht="63.75">
      <c r="A18" s="2" t="s">
        <v>5</v>
      </c>
      <c r="B18" s="414" t="s">
        <v>6</v>
      </c>
    </row>
    <row r="19" spans="1:6" ht="7.9" customHeight="1">
      <c r="A19" s="562"/>
      <c r="B19" s="563"/>
    </row>
    <row r="20" spans="1:6" ht="45" customHeight="1">
      <c r="A20" s="2" t="s">
        <v>7</v>
      </c>
      <c r="B20" s="415" t="s">
        <v>8</v>
      </c>
      <c r="F20" s="3"/>
    </row>
    <row r="21" spans="1:6" ht="7.9" customHeight="1">
      <c r="A21" s="562"/>
      <c r="B21" s="563"/>
    </row>
    <row r="22" spans="1:6" ht="25.5">
      <c r="A22" s="2" t="s">
        <v>9</v>
      </c>
      <c r="B22" s="415" t="s">
        <v>10</v>
      </c>
    </row>
    <row r="23" spans="1:6" ht="7.9" customHeight="1">
      <c r="A23" s="562"/>
      <c r="B23" s="563"/>
    </row>
    <row r="24" spans="1:6" ht="25.5">
      <c r="A24" s="2" t="s">
        <v>11</v>
      </c>
      <c r="B24" s="415" t="s">
        <v>12</v>
      </c>
    </row>
    <row r="25" spans="1:6" ht="7.9" customHeight="1">
      <c r="A25" s="562"/>
      <c r="B25" s="563"/>
    </row>
    <row r="26" spans="1:6">
      <c r="A26" s="2" t="s">
        <v>13</v>
      </c>
      <c r="B26" s="415" t="s">
        <v>14</v>
      </c>
      <c r="D26" s="4"/>
    </row>
    <row r="27" spans="1:6" ht="7.9" customHeight="1">
      <c r="A27" s="562"/>
      <c r="B27" s="563"/>
    </row>
    <row r="28" spans="1:6" ht="38.25">
      <c r="A28" s="2" t="s">
        <v>15</v>
      </c>
      <c r="B28" s="415" t="s">
        <v>16</v>
      </c>
    </row>
    <row r="29" spans="1:6">
      <c r="A29" s="562"/>
      <c r="B29" s="563"/>
    </row>
    <row r="30" spans="1:6">
      <c r="A30" s="2" t="s">
        <v>17</v>
      </c>
      <c r="B30" s="415" t="s">
        <v>18</v>
      </c>
    </row>
    <row r="31" spans="1:6">
      <c r="A31" s="562"/>
      <c r="B31" s="563"/>
    </row>
    <row r="32" spans="1:6" ht="25.5">
      <c r="A32" s="2" t="s">
        <v>19</v>
      </c>
      <c r="B32" s="416" t="s">
        <v>20</v>
      </c>
    </row>
    <row r="33" spans="1:2">
      <c r="A33" s="562"/>
      <c r="B33" s="563"/>
    </row>
    <row r="34" spans="1:2">
      <c r="A34" s="2" t="s">
        <v>21</v>
      </c>
      <c r="B34" s="416" t="s">
        <v>22</v>
      </c>
    </row>
    <row r="35" spans="1:2">
      <c r="A35" s="562"/>
      <c r="B35" s="563"/>
    </row>
  </sheetData>
  <mergeCells count="18">
    <mergeCell ref="A15:B15"/>
    <mergeCell ref="A9:B9"/>
    <mergeCell ref="A1:T8"/>
    <mergeCell ref="A10:B10"/>
    <mergeCell ref="A11:B11"/>
    <mergeCell ref="A12:B12"/>
    <mergeCell ref="A13:B13"/>
    <mergeCell ref="A14:B14"/>
    <mergeCell ref="A29:B29"/>
    <mergeCell ref="A31:B31"/>
    <mergeCell ref="A33:B33"/>
    <mergeCell ref="A35:B35"/>
    <mergeCell ref="A17:B17"/>
    <mergeCell ref="A19:B19"/>
    <mergeCell ref="A21:B21"/>
    <mergeCell ref="A23:B23"/>
    <mergeCell ref="A25:B25"/>
    <mergeCell ref="A27:B27"/>
  </mergeCells>
  <pageMargins left="1.0236220472440944" right="0.98425196850393704" top="0.74803149606299213" bottom="0.74803149606299213" header="0.31496062992125984" footer="0.31496062992125984"/>
  <pageSetup paperSize="9" scale="85" orientation="landscape" horizontalDpi="300" verticalDpi="300" r:id="rId1"/>
  <headerFooter>
    <oddHeader>&amp;L&amp;A&amp;CSelf-Employment Assistance</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8816-CB34-4871-9315-42A9641B24AF}">
  <sheetPr codeName="Sheet3">
    <tabColor theme="5" tint="-0.249977111117893"/>
    <pageSetUpPr fitToPage="1"/>
  </sheetPr>
  <dimension ref="A1:AC43"/>
  <sheetViews>
    <sheetView zoomScale="110" zoomScaleNormal="110" workbookViewId="0">
      <selection activeCell="C22" sqref="C22"/>
    </sheetView>
  </sheetViews>
  <sheetFormatPr defaultColWidth="9.28515625" defaultRowHeight="15.75"/>
  <cols>
    <col min="1" max="1" width="6.28515625" style="7" customWidth="1"/>
    <col min="2" max="2" width="23.28515625" style="419" customWidth="1"/>
    <col min="3" max="3" width="42.140625" style="419" customWidth="1"/>
    <col min="4" max="4" width="19.5703125" style="419" customWidth="1"/>
    <col min="5" max="5" width="13" style="419" customWidth="1"/>
    <col min="6" max="6" width="14.7109375" style="419" customWidth="1"/>
    <col min="7" max="7" width="9.28515625" style="419"/>
    <col min="8" max="8" width="13.42578125" style="419" customWidth="1"/>
    <col min="9" max="9" width="3.7109375" style="419" customWidth="1"/>
    <col min="10" max="10" width="5.85546875" style="419" customWidth="1"/>
    <col min="11" max="11" width="3" style="419" customWidth="1"/>
    <col min="12" max="12" width="4.5703125" style="448" hidden="1" customWidth="1"/>
    <col min="13" max="13" width="1" style="419" hidden="1" customWidth="1"/>
    <col min="14" max="14" width="20.5703125" style="419" hidden="1" customWidth="1"/>
    <col min="15" max="15" width="8.7109375" style="419" hidden="1" customWidth="1"/>
    <col min="16" max="16" width="7.42578125" style="419" customWidth="1"/>
    <col min="17" max="16384" width="9.28515625" style="419"/>
  </cols>
  <sheetData>
    <row r="1" spans="1:29" ht="16.5" thickBot="1">
      <c r="O1" s="449"/>
      <c r="P1" s="449"/>
      <c r="Q1" s="450"/>
      <c r="R1" s="450"/>
      <c r="S1" s="450"/>
      <c r="T1" s="450"/>
      <c r="U1" s="450"/>
      <c r="V1" s="450"/>
      <c r="W1" s="450"/>
      <c r="X1" s="450"/>
      <c r="Y1" s="450"/>
      <c r="Z1" s="450"/>
      <c r="AA1" s="450"/>
      <c r="AB1" s="450"/>
      <c r="AC1" s="450"/>
    </row>
    <row r="2" spans="1:29" ht="22.15" customHeight="1" thickBot="1">
      <c r="A2" s="7">
        <v>1</v>
      </c>
      <c r="B2" s="423" t="s">
        <v>23</v>
      </c>
      <c r="C2" s="583" t="s">
        <v>467</v>
      </c>
      <c r="D2" s="583"/>
      <c r="E2" s="583"/>
      <c r="F2" s="583"/>
      <c r="G2" s="583"/>
      <c r="H2" s="583"/>
      <c r="I2" s="418"/>
      <c r="L2" s="451" t="str">
        <f>'Tables and Calculations'!L4</f>
        <v>Jan</v>
      </c>
      <c r="M2" s="452" t="str">
        <f>'Tables and Calculations'!L4</f>
        <v>Jan</v>
      </c>
      <c r="N2" s="453" t="str">
        <f>'Tables and Calculations'!I4</f>
        <v>Sole trader</v>
      </c>
      <c r="O2" s="454" t="str">
        <f>'Tables and Calculations'!I13</f>
        <v>Monthly</v>
      </c>
      <c r="P2" s="449"/>
      <c r="Q2" s="450"/>
      <c r="R2" s="450"/>
      <c r="S2" s="450"/>
      <c r="T2" s="450"/>
      <c r="U2" s="450"/>
      <c r="V2" s="450"/>
      <c r="W2" s="450"/>
      <c r="X2" s="450"/>
      <c r="Y2" s="450"/>
      <c r="Z2" s="450"/>
      <c r="AA2" s="450"/>
      <c r="AB2" s="450"/>
      <c r="AC2" s="450"/>
    </row>
    <row r="3" spans="1:29" ht="13.15" customHeight="1" thickBot="1">
      <c r="J3" s="584"/>
      <c r="K3" s="584"/>
      <c r="L3" s="451" t="str">
        <f>'Tables and Calculations'!L5</f>
        <v>Feb</v>
      </c>
      <c r="M3" s="455" t="str">
        <f>'Tables and Calculations'!L5</f>
        <v>Feb</v>
      </c>
      <c r="N3" s="453" t="str">
        <f>'Tables and Calculations'!I5</f>
        <v>Partnership of 2</v>
      </c>
      <c r="O3" s="454" t="str">
        <f>'Tables and Calculations'!I14</f>
        <v>Quarterly</v>
      </c>
      <c r="P3" s="449"/>
      <c r="Q3" s="450"/>
      <c r="R3" s="450"/>
      <c r="S3" s="450"/>
      <c r="T3" s="450"/>
      <c r="U3" s="450"/>
      <c r="V3" s="450"/>
      <c r="W3" s="450"/>
      <c r="X3" s="450"/>
      <c r="Y3" s="450"/>
      <c r="Z3" s="450"/>
      <c r="AA3" s="450"/>
      <c r="AB3" s="450"/>
      <c r="AC3" s="450"/>
    </row>
    <row r="4" spans="1:29" ht="24" customHeight="1" thickBot="1">
      <c r="A4" s="7">
        <v>2</v>
      </c>
      <c r="B4" s="585" t="s">
        <v>24</v>
      </c>
      <c r="C4" s="585"/>
      <c r="D4" s="443" t="s">
        <v>25</v>
      </c>
      <c r="J4" s="584"/>
      <c r="K4" s="584"/>
      <c r="L4" s="451" t="str">
        <f>'Tables and Calculations'!L6</f>
        <v>Mar</v>
      </c>
      <c r="M4" s="455" t="str">
        <f>'Tables and Calculations'!L6</f>
        <v>Mar</v>
      </c>
      <c r="N4" s="453" t="str">
        <f>'Tables and Calculations'!I6</f>
        <v>Partnership of 3</v>
      </c>
      <c r="O4" s="449"/>
      <c r="P4" s="449"/>
      <c r="Q4" s="450"/>
      <c r="R4" s="450"/>
      <c r="S4" s="450"/>
      <c r="T4" s="450"/>
      <c r="U4" s="450"/>
      <c r="V4" s="450"/>
      <c r="W4" s="450"/>
      <c r="X4" s="450"/>
      <c r="Y4" s="450"/>
      <c r="Z4" s="450"/>
      <c r="AA4" s="450"/>
      <c r="AB4" s="450"/>
      <c r="AC4" s="450"/>
    </row>
    <row r="5" spans="1:29" ht="18" customHeight="1" thickBot="1">
      <c r="J5" s="584"/>
      <c r="K5" s="584"/>
      <c r="L5" s="451" t="str">
        <f>'Tables and Calculations'!L8</f>
        <v>May</v>
      </c>
      <c r="M5" s="455" t="str">
        <f>'Tables and Calculations'!L7</f>
        <v>Apr</v>
      </c>
      <c r="N5" s="456" t="str">
        <f>'Tables and Calculations'!I7</f>
        <v>Company</v>
      </c>
      <c r="O5" s="449"/>
      <c r="P5" s="449"/>
      <c r="Q5" s="450"/>
      <c r="R5" s="450"/>
      <c r="S5" s="450"/>
      <c r="T5" s="450"/>
      <c r="U5" s="450"/>
      <c r="V5" s="450"/>
      <c r="W5" s="450"/>
      <c r="X5" s="450"/>
      <c r="Y5" s="450"/>
      <c r="Z5" s="450"/>
      <c r="AA5" s="450"/>
      <c r="AB5" s="450"/>
      <c r="AC5" s="450"/>
    </row>
    <row r="6" spans="1:29" ht="26.65" customHeight="1" thickBot="1">
      <c r="A6" s="7">
        <v>3</v>
      </c>
      <c r="B6" s="585" t="s">
        <v>26</v>
      </c>
      <c r="C6" s="585"/>
      <c r="D6" s="583" t="s">
        <v>406</v>
      </c>
      <c r="E6" s="583"/>
      <c r="J6" s="586"/>
      <c r="K6" s="586"/>
      <c r="L6" s="451" t="str">
        <f>'Tables and Calculations'!L9</f>
        <v>Jun</v>
      </c>
      <c r="M6" s="455" t="str">
        <f>'Tables and Calculations'!L8</f>
        <v>May</v>
      </c>
      <c r="O6" s="449"/>
      <c r="P6" s="449"/>
      <c r="Q6" s="450"/>
      <c r="R6" s="450"/>
      <c r="S6" s="450"/>
      <c r="T6" s="450"/>
      <c r="U6" s="450"/>
      <c r="V6" s="450"/>
      <c r="W6" s="450"/>
      <c r="X6" s="450"/>
      <c r="Y6" s="450"/>
      <c r="Z6" s="450"/>
      <c r="AA6" s="450"/>
      <c r="AB6" s="450"/>
      <c r="AC6" s="450"/>
    </row>
    <row r="7" spans="1:29" ht="16.5" customHeight="1">
      <c r="G7" s="12"/>
      <c r="H7" s="12"/>
      <c r="J7" s="420"/>
      <c r="K7" s="420"/>
      <c r="L7" s="451" t="str">
        <f>'Tables and Calculations'!L10</f>
        <v>Jul</v>
      </c>
      <c r="M7" s="455" t="str">
        <f>'Tables and Calculations'!L9</f>
        <v>Jun</v>
      </c>
      <c r="N7" s="453" t="s">
        <v>27</v>
      </c>
      <c r="O7" s="449"/>
      <c r="P7" s="449"/>
      <c r="Q7" s="450"/>
      <c r="R7" s="450"/>
      <c r="S7" s="450"/>
      <c r="T7" s="450"/>
      <c r="U7" s="450"/>
      <c r="V7" s="450"/>
      <c r="W7" s="450"/>
      <c r="X7" s="450"/>
      <c r="Y7" s="450"/>
      <c r="Z7" s="450"/>
      <c r="AA7" s="450"/>
      <c r="AB7" s="450"/>
      <c r="AC7" s="450"/>
    </row>
    <row r="8" spans="1:29" ht="24.6" customHeight="1">
      <c r="A8" s="7">
        <v>4</v>
      </c>
      <c r="B8" s="587" t="s">
        <v>28</v>
      </c>
      <c r="C8" s="587"/>
      <c r="D8" s="587"/>
      <c r="G8" s="12"/>
      <c r="H8" s="12"/>
      <c r="J8" s="420"/>
      <c r="K8" s="420"/>
      <c r="L8" s="451" t="str">
        <f>'Tables and Calculations'!L11</f>
        <v>Aug</v>
      </c>
      <c r="M8" s="455" t="str">
        <f>'Tables and Calculations'!L10</f>
        <v>Jul</v>
      </c>
      <c r="N8" s="457" t="s">
        <v>29</v>
      </c>
      <c r="O8" s="449"/>
      <c r="P8" s="449"/>
      <c r="Q8" s="450"/>
      <c r="R8" s="450"/>
      <c r="S8" s="450"/>
      <c r="T8" s="450"/>
      <c r="U8" s="450"/>
      <c r="V8" s="450"/>
      <c r="W8" s="450"/>
      <c r="X8" s="450"/>
      <c r="Y8" s="450"/>
      <c r="Z8" s="450"/>
      <c r="AA8" s="450"/>
      <c r="AB8" s="450"/>
      <c r="AC8" s="450"/>
    </row>
    <row r="9" spans="1:29" ht="26.65" customHeight="1" thickBot="1">
      <c r="A9" s="12">
        <v>4.0999999999999996</v>
      </c>
      <c r="B9" s="588" t="s">
        <v>30</v>
      </c>
      <c r="C9" s="588"/>
      <c r="D9" s="443" t="s">
        <v>27</v>
      </c>
      <c r="J9" s="420"/>
      <c r="K9" s="420"/>
      <c r="L9" s="451" t="str">
        <f>'Tables and Calculations'!L12</f>
        <v>Sep</v>
      </c>
      <c r="M9" s="455" t="str">
        <f>'Tables and Calculations'!L11</f>
        <v>Aug</v>
      </c>
      <c r="N9" s="458" t="s">
        <v>31</v>
      </c>
      <c r="O9" s="449"/>
      <c r="P9" s="449"/>
      <c r="Q9" s="450"/>
      <c r="R9" s="450"/>
      <c r="S9" s="450"/>
      <c r="T9" s="450"/>
      <c r="U9" s="450"/>
      <c r="V9" s="450"/>
      <c r="W9" s="450"/>
      <c r="X9" s="450"/>
      <c r="Y9" s="450"/>
      <c r="Z9" s="450"/>
      <c r="AA9" s="450"/>
      <c r="AB9" s="450"/>
      <c r="AC9" s="450"/>
    </row>
    <row r="10" spans="1:29" ht="15.75" customHeight="1" thickBot="1">
      <c r="A10" s="12">
        <v>4.2</v>
      </c>
      <c r="B10" s="588" t="s">
        <v>32</v>
      </c>
      <c r="C10" s="588"/>
      <c r="D10" s="443" t="s">
        <v>35</v>
      </c>
      <c r="G10" s="589"/>
      <c r="H10" s="589"/>
      <c r="I10" s="589"/>
      <c r="J10" s="589"/>
      <c r="K10" s="589"/>
      <c r="L10" s="451" t="str">
        <f>'Tables and Calculations'!L13</f>
        <v>Oct</v>
      </c>
      <c r="M10" s="455" t="str">
        <f>'Tables and Calculations'!L12</f>
        <v>Sep</v>
      </c>
    </row>
    <row r="11" spans="1:29" ht="15.75" customHeight="1">
      <c r="A11" s="12">
        <v>4.3</v>
      </c>
      <c r="B11" s="588" t="s">
        <v>33</v>
      </c>
      <c r="C11" s="588"/>
      <c r="D11" s="443" t="s">
        <v>34</v>
      </c>
      <c r="G11" s="589"/>
      <c r="H11" s="589"/>
      <c r="I11" s="589"/>
      <c r="J11" s="589"/>
      <c r="K11" s="589"/>
      <c r="L11" s="451" t="str">
        <f>'Tables and Calculations'!L14</f>
        <v>Nov</v>
      </c>
      <c r="M11" s="455" t="str">
        <f>'Tables and Calculations'!L13</f>
        <v>Oct</v>
      </c>
      <c r="N11" s="459" t="s">
        <v>35</v>
      </c>
    </row>
    <row r="12" spans="1:29" ht="18" customHeight="1" thickBot="1">
      <c r="G12" s="589"/>
      <c r="H12" s="589"/>
      <c r="I12" s="589"/>
      <c r="J12" s="589"/>
      <c r="K12" s="589"/>
      <c r="L12" s="451" t="str">
        <f>'Tables and Calculations'!L15</f>
        <v>Dec</v>
      </c>
      <c r="M12" s="455" t="str">
        <f>'Tables and Calculations'!L14</f>
        <v>Nov</v>
      </c>
      <c r="N12" s="460" t="s">
        <v>36</v>
      </c>
    </row>
    <row r="13" spans="1:29" ht="27" customHeight="1">
      <c r="A13" s="12"/>
      <c r="B13" s="12"/>
      <c r="D13" s="12"/>
      <c r="E13" s="12"/>
      <c r="F13" s="12"/>
      <c r="G13" s="461"/>
      <c r="H13" s="462"/>
      <c r="I13" s="463"/>
      <c r="J13" s="464"/>
      <c r="K13" s="464"/>
      <c r="L13" s="464"/>
      <c r="M13" s="20" t="s">
        <v>37</v>
      </c>
      <c r="N13" s="464"/>
      <c r="O13" s="464"/>
      <c r="P13" s="464"/>
      <c r="Q13" s="464"/>
      <c r="R13" s="464"/>
    </row>
    <row r="14" spans="1:29" ht="21" customHeight="1">
      <c r="D14" s="465"/>
      <c r="E14" s="12"/>
      <c r="F14" s="466"/>
      <c r="M14" s="467"/>
      <c r="N14" s="467"/>
    </row>
    <row r="15" spans="1:29" ht="27" customHeight="1">
      <c r="J15" s="464"/>
      <c r="K15" s="464"/>
      <c r="L15" s="464"/>
      <c r="M15" s="464"/>
      <c r="N15" s="464"/>
      <c r="O15" s="464"/>
      <c r="P15" s="464"/>
      <c r="Q15" s="464"/>
      <c r="R15" s="464"/>
    </row>
    <row r="16" spans="1:29" ht="18" customHeight="1">
      <c r="J16" s="464"/>
      <c r="K16" s="464"/>
      <c r="L16" s="464"/>
      <c r="M16" s="464"/>
      <c r="N16" s="464"/>
      <c r="O16" s="464"/>
      <c r="P16" s="464"/>
      <c r="Q16" s="464"/>
      <c r="R16" s="464"/>
    </row>
    <row r="17" spans="8:17" ht="30" customHeight="1">
      <c r="J17" s="12"/>
      <c r="M17" s="462"/>
    </row>
    <row r="18" spans="8:17" ht="10.15" customHeight="1">
      <c r="H18" s="468"/>
      <c r="I18" s="468"/>
      <c r="J18" s="12"/>
      <c r="M18" s="467"/>
      <c r="N18" s="467"/>
    </row>
    <row r="19" spans="8:17" ht="15.75" customHeight="1">
      <c r="H19" s="579"/>
      <c r="I19" s="580"/>
      <c r="M19" s="467"/>
      <c r="N19" s="467"/>
    </row>
    <row r="20" spans="8:17" ht="16.149999999999999" customHeight="1">
      <c r="H20" s="579"/>
      <c r="I20" s="580"/>
      <c r="M20" s="467"/>
      <c r="N20" s="467"/>
    </row>
    <row r="21" spans="8:17" ht="33" customHeight="1">
      <c r="H21" s="579"/>
      <c r="I21" s="580"/>
      <c r="M21" s="467"/>
      <c r="N21" s="467"/>
    </row>
    <row r="22" spans="8:17" ht="18" customHeight="1">
      <c r="H22" s="579"/>
      <c r="I22" s="580"/>
    </row>
    <row r="23" spans="8:17" ht="22.9" customHeight="1">
      <c r="H23" s="579"/>
      <c r="I23" s="580"/>
    </row>
    <row r="24" spans="8:17" ht="25.9" customHeight="1">
      <c r="H24" s="579"/>
      <c r="I24" s="580"/>
      <c r="J24" s="469"/>
      <c r="K24" s="420"/>
    </row>
    <row r="25" spans="8:17" ht="18.75" customHeight="1">
      <c r="H25" s="579"/>
      <c r="I25" s="580"/>
      <c r="J25" s="578"/>
      <c r="K25" s="578"/>
    </row>
    <row r="26" spans="8:17" ht="15.75" customHeight="1">
      <c r="H26" s="579"/>
      <c r="I26" s="580"/>
      <c r="J26" s="578"/>
      <c r="K26" s="578"/>
    </row>
    <row r="27" spans="8:17" ht="46.5" customHeight="1">
      <c r="H27" s="579"/>
      <c r="I27" s="580"/>
      <c r="J27" s="581"/>
      <c r="K27" s="581"/>
      <c r="Q27" s="467"/>
    </row>
    <row r="28" spans="8:17" ht="18.75" customHeight="1">
      <c r="H28" s="579"/>
      <c r="I28" s="580"/>
      <c r="J28" s="581"/>
      <c r="K28" s="581"/>
      <c r="Q28" s="467"/>
    </row>
    <row r="29" spans="8:17" ht="16.5" customHeight="1">
      <c r="H29" s="579"/>
      <c r="I29" s="580"/>
      <c r="J29" s="581"/>
      <c r="K29" s="581"/>
      <c r="Q29" s="467"/>
    </row>
    <row r="30" spans="8:17" ht="16.5" customHeight="1">
      <c r="H30" s="579"/>
      <c r="I30" s="580"/>
      <c r="J30" s="582"/>
      <c r="K30" s="582"/>
      <c r="Q30" s="467"/>
    </row>
    <row r="31" spans="8:17" ht="16.5" customHeight="1">
      <c r="H31" s="579"/>
      <c r="I31" s="580"/>
      <c r="J31" s="582"/>
      <c r="K31" s="582"/>
      <c r="Q31" s="467"/>
    </row>
    <row r="32" spans="8:17" ht="16.5" customHeight="1">
      <c r="H32" s="579"/>
      <c r="I32" s="580"/>
      <c r="J32" s="582"/>
      <c r="K32" s="582"/>
      <c r="Q32" s="467"/>
    </row>
    <row r="33" spans="8:17" ht="16.5" customHeight="1">
      <c r="H33" s="579"/>
      <c r="I33" s="580"/>
      <c r="J33" s="470"/>
      <c r="K33" s="470"/>
      <c r="Q33" s="467"/>
    </row>
    <row r="34" spans="8:17" ht="16.5" customHeight="1">
      <c r="J34" s="470"/>
      <c r="K34" s="470"/>
      <c r="Q34" s="467"/>
    </row>
    <row r="35" spans="8:17" ht="16.5" customHeight="1">
      <c r="Q35" s="467"/>
    </row>
    <row r="36" spans="8:17" ht="16.149999999999999" customHeight="1">
      <c r="J36" s="577"/>
      <c r="K36" s="577"/>
      <c r="Q36" s="467"/>
    </row>
    <row r="37" spans="8:17" ht="16.5" customHeight="1">
      <c r="J37" s="577"/>
      <c r="K37" s="577"/>
      <c r="Q37" s="467"/>
    </row>
    <row r="38" spans="8:17" ht="16.5" customHeight="1">
      <c r="J38" s="577"/>
      <c r="K38" s="577"/>
      <c r="Q38" s="467"/>
    </row>
    <row r="39" spans="8:17">
      <c r="Q39" s="467"/>
    </row>
    <row r="40" spans="8:17" ht="16.5" customHeight="1">
      <c r="J40" s="471"/>
      <c r="K40" s="471"/>
      <c r="Q40" s="467"/>
    </row>
    <row r="41" spans="8:17" ht="16.5" customHeight="1">
      <c r="Q41" s="467"/>
    </row>
    <row r="42" spans="8:17" ht="15.75" customHeight="1">
      <c r="Q42" s="467"/>
    </row>
    <row r="43" spans="8:17">
      <c r="P43" s="467"/>
    </row>
  </sheetData>
  <mergeCells count="30">
    <mergeCell ref="H19:I19"/>
    <mergeCell ref="C2:H2"/>
    <mergeCell ref="J3:K5"/>
    <mergeCell ref="B4:C4"/>
    <mergeCell ref="B6:C6"/>
    <mergeCell ref="D6:E6"/>
    <mergeCell ref="J6:K6"/>
    <mergeCell ref="B8:D8"/>
    <mergeCell ref="B9:C9"/>
    <mergeCell ref="B10:C10"/>
    <mergeCell ref="G10:K12"/>
    <mergeCell ref="B11:C11"/>
    <mergeCell ref="H20:I20"/>
    <mergeCell ref="H21:I21"/>
    <mergeCell ref="H22:I22"/>
    <mergeCell ref="H23:I23"/>
    <mergeCell ref="H24:I24"/>
    <mergeCell ref="J36:K38"/>
    <mergeCell ref="J25:K26"/>
    <mergeCell ref="H26:I26"/>
    <mergeCell ref="H27:I27"/>
    <mergeCell ref="J27:K29"/>
    <mergeCell ref="H28:I28"/>
    <mergeCell ref="H29:I29"/>
    <mergeCell ref="H25:I25"/>
    <mergeCell ref="H30:I30"/>
    <mergeCell ref="J30:K32"/>
    <mergeCell ref="H31:I31"/>
    <mergeCell ref="H32:I32"/>
    <mergeCell ref="H33:I33"/>
  </mergeCells>
  <dataValidations count="6">
    <dataValidation type="list" allowBlank="1" showInputMessage="1" showErrorMessage="1" sqref="D11" xr:uid="{ED4FF95C-AA20-4DE2-8F15-DBCD49098AB0}">
      <formula1>$O$2:$O$5</formula1>
    </dataValidation>
    <dataValidation type="list" allowBlank="1" showInputMessage="1" showErrorMessage="1" sqref="D4" xr:uid="{B8011472-518E-4D64-81D9-6AA617134BB1}">
      <formula1>$M$2:$M$13</formula1>
    </dataValidation>
    <dataValidation type="list" allowBlank="1" showInputMessage="1" showErrorMessage="1" sqref="D9" xr:uid="{48FE89CE-34F9-4D64-BDDB-79C1BFBE9072}">
      <formula1>$N$7:$N$9</formula1>
    </dataValidation>
    <dataValidation type="list" allowBlank="1" showInputMessage="1" showErrorMessage="1" sqref="D10" xr:uid="{367AE238-A898-4D47-A533-178BF66080C7}">
      <formula1>$N$11:$N$12</formula1>
    </dataValidation>
    <dataValidation type="list" allowBlank="1" showInputMessage="1" showErrorMessage="1" sqref="D6:E6" xr:uid="{B266CE39-0404-40EE-997F-494FA96797B9}">
      <formula1>$N$2:$N$5</formula1>
    </dataValidation>
    <dataValidation allowBlank="1" showInputMessage="1" showErrorMessage="1" prompt="Enter your name or that of your business" sqref="C2 I2" xr:uid="{04913DD3-514E-4582-8789-FBA5A795A98D}"/>
  </dataValidations>
  <pageMargins left="1.0236220472440944" right="0.23622047244094491" top="0.74803149606299213" bottom="0.74803149606299213" header="0.31496062992125984" footer="0.31496062992125984"/>
  <pageSetup paperSize="9" scale="70" orientation="portrait" horizontalDpi="4294967293" verticalDpi="300" r:id="rId1"/>
  <headerFooter alignWithMargins="0">
    <oddHeader>&amp;L&amp;A&amp;CSelf-Employment Assistance</oddHeader>
  </headerFooter>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8844-AE70-4820-B46C-4D4A0DF58A87}">
  <sheetPr codeName="Sheet15">
    <tabColor theme="7" tint="0.499984740745262"/>
  </sheetPr>
  <dimension ref="A1:FK34"/>
  <sheetViews>
    <sheetView zoomScale="89" zoomScaleNormal="89" workbookViewId="0">
      <selection activeCell="I25" sqref="I25"/>
    </sheetView>
  </sheetViews>
  <sheetFormatPr defaultColWidth="11.7109375" defaultRowHeight="16.899999999999999" customHeight="1"/>
  <cols>
    <col min="1" max="1" width="10.7109375" style="5" customWidth="1"/>
    <col min="2" max="2" width="24.28515625" style="5" customWidth="1"/>
    <col min="3" max="3" width="20" style="5" customWidth="1"/>
    <col min="4" max="16" width="10.7109375" style="5" customWidth="1"/>
    <col min="17" max="17" width="12.7109375" style="5" customWidth="1"/>
    <col min="18" max="46" width="11.7109375" style="6"/>
    <col min="47" max="16384" width="11.7109375" style="5"/>
  </cols>
  <sheetData>
    <row r="1" spans="1:167" ht="21" customHeight="1" thickBot="1">
      <c r="A1" s="587" t="s">
        <v>38</v>
      </c>
      <c r="B1" s="587"/>
      <c r="C1" s="587"/>
      <c r="D1" s="587"/>
      <c r="E1" s="587"/>
      <c r="F1" s="587"/>
      <c r="G1" s="587"/>
      <c r="H1" s="587"/>
      <c r="I1" s="587"/>
      <c r="J1" s="587"/>
      <c r="K1" s="587"/>
      <c r="L1" s="587"/>
      <c r="M1" s="587"/>
      <c r="N1" s="587"/>
      <c r="O1" s="587"/>
      <c r="P1" s="587"/>
      <c r="Q1" s="611"/>
    </row>
    <row r="2" spans="1:167" ht="24.6" customHeight="1" thickBot="1">
      <c r="A2" s="615" t="s">
        <v>39</v>
      </c>
      <c r="B2" s="616"/>
      <c r="C2" s="617"/>
      <c r="D2" s="476">
        <v>45566</v>
      </c>
      <c r="E2" s="21">
        <f t="shared" ref="E2:O2" si="0">DATE(YEAR(D2),MONTH(D2)+1,1)</f>
        <v>45597</v>
      </c>
      <c r="F2" s="21">
        <f t="shared" si="0"/>
        <v>45627</v>
      </c>
      <c r="G2" s="21">
        <f t="shared" si="0"/>
        <v>45658</v>
      </c>
      <c r="H2" s="21">
        <f t="shared" si="0"/>
        <v>45689</v>
      </c>
      <c r="I2" s="21">
        <f t="shared" si="0"/>
        <v>45717</v>
      </c>
      <c r="J2" s="21">
        <f t="shared" si="0"/>
        <v>45748</v>
      </c>
      <c r="K2" s="21">
        <f t="shared" si="0"/>
        <v>45778</v>
      </c>
      <c r="L2" s="21">
        <f t="shared" si="0"/>
        <v>45809</v>
      </c>
      <c r="M2" s="21">
        <f t="shared" si="0"/>
        <v>45839</v>
      </c>
      <c r="N2" s="21">
        <f t="shared" si="0"/>
        <v>45870</v>
      </c>
      <c r="O2" s="22">
        <f t="shared" si="0"/>
        <v>45901</v>
      </c>
      <c r="P2" s="23" t="s">
        <v>40</v>
      </c>
      <c r="Q2" s="612"/>
    </row>
    <row r="3" spans="1:167" ht="15" customHeight="1" thickBot="1">
      <c r="A3" s="474"/>
      <c r="B3" s="475"/>
      <c r="C3" s="24" t="s">
        <v>41</v>
      </c>
      <c r="D3" s="443">
        <f>'Cash Flow Year 1'!C4</f>
        <v>0</v>
      </c>
      <c r="E3" s="443" t="e">
        <f>'Cash Flow Year 1'!D4</f>
        <v>#VALUE!</v>
      </c>
      <c r="F3" s="443" t="e">
        <f>'Cash Flow Year 1'!E4</f>
        <v>#VALUE!</v>
      </c>
      <c r="G3" s="443" t="e">
        <f>'Cash Flow Year 1'!F4</f>
        <v>#VALUE!</v>
      </c>
      <c r="H3" s="443" t="e">
        <f>'Cash Flow Year 1'!G4</f>
        <v>#VALUE!</v>
      </c>
      <c r="I3" s="443" t="e">
        <f>'Cash Flow Year 1'!H4</f>
        <v>#VALUE!</v>
      </c>
      <c r="J3" s="443" t="e">
        <f>'Cash Flow Year 1'!I4</f>
        <v>#VALUE!</v>
      </c>
      <c r="K3" s="443" t="e">
        <f>'Cash Flow Year 1'!J4</f>
        <v>#VALUE!</v>
      </c>
      <c r="L3" s="443" t="e">
        <f>'Cash Flow Year 1'!K4</f>
        <v>#VALUE!</v>
      </c>
      <c r="M3" s="443" t="e">
        <f>'Cash Flow Year 1'!L4</f>
        <v>#VALUE!</v>
      </c>
      <c r="N3" s="443" t="e">
        <f>'Cash Flow Year 1'!M4</f>
        <v>#VALUE!</v>
      </c>
      <c r="O3" s="443" t="e">
        <f>'Cash Flow Year 1'!N4</f>
        <v>#VALUE!</v>
      </c>
      <c r="P3" s="445">
        <f>D3</f>
        <v>0</v>
      </c>
      <c r="Q3" s="612"/>
    </row>
    <row r="4" spans="1:167" ht="15" customHeight="1" thickBot="1">
      <c r="A4" s="618" t="s">
        <v>42</v>
      </c>
      <c r="B4" s="619"/>
      <c r="C4" s="25" t="s">
        <v>43</v>
      </c>
      <c r="D4" s="443" t="e">
        <f>'Cash Flow Year 1'!C5</f>
        <v>#VALUE!</v>
      </c>
      <c r="E4" s="443" t="e">
        <f>'Cash Flow Year 1'!D5</f>
        <v>#VALUE!</v>
      </c>
      <c r="F4" s="443" t="e">
        <f>'Cash Flow Year 1'!E5</f>
        <v>#VALUE!</v>
      </c>
      <c r="G4" s="443" t="e">
        <f>'Cash Flow Year 1'!F5</f>
        <v>#VALUE!</v>
      </c>
      <c r="H4" s="443" t="e">
        <f>'Cash Flow Year 1'!G5</f>
        <v>#VALUE!</v>
      </c>
      <c r="I4" s="443" t="e">
        <f>'Cash Flow Year 1'!H5</f>
        <v>#VALUE!</v>
      </c>
      <c r="J4" s="443" t="e">
        <f>'Cash Flow Year 1'!I5</f>
        <v>#VALUE!</v>
      </c>
      <c r="K4" s="443" t="e">
        <f>'Cash Flow Year 1'!J5</f>
        <v>#VALUE!</v>
      </c>
      <c r="L4" s="443" t="e">
        <f>'Cash Flow Year 1'!K5</f>
        <v>#VALUE!</v>
      </c>
      <c r="M4" s="443" t="e">
        <f>'Cash Flow Year 1'!L5</f>
        <v>#VALUE!</v>
      </c>
      <c r="N4" s="443" t="e">
        <f>'Cash Flow Year 1'!M5</f>
        <v>#VALUE!</v>
      </c>
      <c r="O4" s="443" t="e">
        <f>'Cash Flow Year 1'!N5</f>
        <v>#VALUE!</v>
      </c>
      <c r="P4" s="445" t="e">
        <f t="shared" ref="P4:P6" si="1">SUM(D4:O4)</f>
        <v>#VALUE!</v>
      </c>
      <c r="Q4" s="612"/>
    </row>
    <row r="5" spans="1:167" ht="15" customHeight="1" thickBot="1">
      <c r="A5" s="618" t="s">
        <v>44</v>
      </c>
      <c r="B5" s="620"/>
      <c r="C5" s="25" t="s">
        <v>45</v>
      </c>
      <c r="D5" s="443" t="e">
        <f>'Cash Flow Year 1'!C6</f>
        <v>#VALUE!</v>
      </c>
      <c r="E5" s="443" t="e">
        <f>'Cash Flow Year 1'!D6</f>
        <v>#VALUE!</v>
      </c>
      <c r="F5" s="443" t="e">
        <f>'Cash Flow Year 1'!E6</f>
        <v>#VALUE!</v>
      </c>
      <c r="G5" s="443" t="e">
        <f>'Cash Flow Year 1'!F6</f>
        <v>#VALUE!</v>
      </c>
      <c r="H5" s="443" t="e">
        <f>'Cash Flow Year 1'!G6</f>
        <v>#VALUE!</v>
      </c>
      <c r="I5" s="443" t="e">
        <f>'Cash Flow Year 1'!H6</f>
        <v>#VALUE!</v>
      </c>
      <c r="J5" s="443" t="e">
        <f>'Cash Flow Year 1'!I6</f>
        <v>#VALUE!</v>
      </c>
      <c r="K5" s="443" t="e">
        <f>'Cash Flow Year 1'!J6</f>
        <v>#VALUE!</v>
      </c>
      <c r="L5" s="443" t="e">
        <f>'Cash Flow Year 1'!K6</f>
        <v>#VALUE!</v>
      </c>
      <c r="M5" s="443" t="e">
        <f>'Cash Flow Year 1'!L6</f>
        <v>#VALUE!</v>
      </c>
      <c r="N5" s="443" t="e">
        <f>'Cash Flow Year 1'!M6</f>
        <v>#VALUE!</v>
      </c>
      <c r="O5" s="443" t="e">
        <f>'Cash Flow Year 1'!N6</f>
        <v>#VALUE!</v>
      </c>
      <c r="P5" s="445" t="e">
        <f t="shared" si="1"/>
        <v>#VALUE!</v>
      </c>
      <c r="Q5" s="612"/>
    </row>
    <row r="6" spans="1:167" ht="15" customHeight="1" thickBot="1">
      <c r="A6" s="621" t="s">
        <v>46</v>
      </c>
      <c r="B6" s="622"/>
      <c r="C6" s="473" t="s">
        <v>47</v>
      </c>
      <c r="D6" s="472" t="e">
        <f>SUM(D4-D5)</f>
        <v>#VALUE!</v>
      </c>
      <c r="E6" s="472" t="e">
        <f t="shared" ref="E6:O6" si="2">SUM(E4-E5)</f>
        <v>#VALUE!</v>
      </c>
      <c r="F6" s="472" t="e">
        <f t="shared" si="2"/>
        <v>#VALUE!</v>
      </c>
      <c r="G6" s="472" t="e">
        <f t="shared" si="2"/>
        <v>#VALUE!</v>
      </c>
      <c r="H6" s="472" t="e">
        <f t="shared" si="2"/>
        <v>#VALUE!</v>
      </c>
      <c r="I6" s="472" t="e">
        <f t="shared" si="2"/>
        <v>#VALUE!</v>
      </c>
      <c r="J6" s="472" t="e">
        <f t="shared" si="2"/>
        <v>#VALUE!</v>
      </c>
      <c r="K6" s="472" t="e">
        <f t="shared" si="2"/>
        <v>#VALUE!</v>
      </c>
      <c r="L6" s="472" t="e">
        <f t="shared" si="2"/>
        <v>#VALUE!</v>
      </c>
      <c r="M6" s="472" t="e">
        <f t="shared" si="2"/>
        <v>#VALUE!</v>
      </c>
      <c r="N6" s="472" t="e">
        <f t="shared" si="2"/>
        <v>#VALUE!</v>
      </c>
      <c r="O6" s="472" t="e">
        <f t="shared" si="2"/>
        <v>#VALUE!</v>
      </c>
      <c r="P6" s="445" t="e">
        <f t="shared" si="1"/>
        <v>#VALUE!</v>
      </c>
      <c r="Q6" s="612"/>
    </row>
    <row r="7" spans="1:167" s="27" customFormat="1" ht="15" customHeight="1" thickBot="1">
      <c r="A7" s="623" t="s">
        <v>48</v>
      </c>
      <c r="B7" s="624"/>
      <c r="C7" s="26"/>
      <c r="D7" s="477">
        <v>1</v>
      </c>
      <c r="E7" s="477">
        <f t="shared" ref="E7:O7" si="3">D7+E9</f>
        <v>1</v>
      </c>
      <c r="F7" s="477">
        <f t="shared" si="3"/>
        <v>1</v>
      </c>
      <c r="G7" s="477">
        <f t="shared" si="3"/>
        <v>2</v>
      </c>
      <c r="H7" s="477">
        <f t="shared" si="3"/>
        <v>2</v>
      </c>
      <c r="I7" s="477">
        <f t="shared" si="3"/>
        <v>2</v>
      </c>
      <c r="J7" s="477">
        <f t="shared" si="3"/>
        <v>3</v>
      </c>
      <c r="K7" s="477">
        <f t="shared" si="3"/>
        <v>3</v>
      </c>
      <c r="L7" s="477">
        <f t="shared" si="3"/>
        <v>3</v>
      </c>
      <c r="M7" s="477">
        <f t="shared" si="3"/>
        <v>4</v>
      </c>
      <c r="N7" s="477">
        <f t="shared" si="3"/>
        <v>4</v>
      </c>
      <c r="O7" s="477">
        <f t="shared" si="3"/>
        <v>4</v>
      </c>
      <c r="P7" s="445"/>
      <c r="Q7" s="613"/>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row>
    <row r="8" spans="1:167" s="27" customFormat="1" ht="12.75" hidden="1">
      <c r="A8" s="625" t="s">
        <v>49</v>
      </c>
      <c r="B8" s="626"/>
      <c r="C8" s="28"/>
      <c r="D8" s="29" t="b">
        <f>IF(D7,E9,"")</f>
        <v>0</v>
      </c>
      <c r="E8" s="29" t="b">
        <f t="shared" ref="E8:O8" si="4">IF(E7,F9,"")</f>
        <v>0</v>
      </c>
      <c r="F8" s="29" t="b">
        <f t="shared" si="4"/>
        <v>1</v>
      </c>
      <c r="G8" s="29" t="b">
        <f t="shared" si="4"/>
        <v>0</v>
      </c>
      <c r="H8" s="29" t="b">
        <f t="shared" si="4"/>
        <v>0</v>
      </c>
      <c r="I8" s="29" t="b">
        <f t="shared" si="4"/>
        <v>1</v>
      </c>
      <c r="J8" s="29" t="b">
        <f t="shared" si="4"/>
        <v>0</v>
      </c>
      <c r="K8" s="29" t="b">
        <f t="shared" si="4"/>
        <v>0</v>
      </c>
      <c r="L8" s="29" t="b">
        <f t="shared" si="4"/>
        <v>1</v>
      </c>
      <c r="M8" s="29" t="b">
        <f t="shared" si="4"/>
        <v>0</v>
      </c>
      <c r="N8" s="29" t="b">
        <f t="shared" si="4"/>
        <v>0</v>
      </c>
      <c r="O8" s="29">
        <f t="shared" si="4"/>
        <v>0</v>
      </c>
      <c r="P8" s="30"/>
      <c r="Q8" s="61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row>
    <row r="9" spans="1:167" s="27" customFormat="1" ht="13.5" hidden="1" thickBot="1">
      <c r="A9" s="625" t="s">
        <v>50</v>
      </c>
      <c r="B9" s="626"/>
      <c r="C9" s="28"/>
      <c r="D9" s="31" t="b">
        <f>INT(MONTH(D2-1)/3)=MONTH(D2-1)/3</f>
        <v>1</v>
      </c>
      <c r="E9" s="31" t="b">
        <f>INT(MONTH(E2-1)/3)=MONTH(E2-1)/3</f>
        <v>0</v>
      </c>
      <c r="F9" s="31" t="b">
        <f>INT(MONTH(F2-1)/3)=MONTH(F2-1)/3</f>
        <v>0</v>
      </c>
      <c r="G9" s="31" t="b">
        <f>INT(MONTH(G2-1)/3)=MONTH(G2-1)/3</f>
        <v>1</v>
      </c>
      <c r="H9" s="31" t="b">
        <f>INT(MONTH(H2-1)/3)=MONTH(H2-1)/3</f>
        <v>0</v>
      </c>
      <c r="I9" s="31" t="b">
        <f t="shared" ref="I9:O9" si="5">INT(MONTH(I2-1)/3)=MONTH(I2-1)/3</f>
        <v>0</v>
      </c>
      <c r="J9" s="31" t="b">
        <f t="shared" si="5"/>
        <v>1</v>
      </c>
      <c r="K9" s="31" t="b">
        <f t="shared" si="5"/>
        <v>0</v>
      </c>
      <c r="L9" s="31" t="b">
        <f t="shared" si="5"/>
        <v>0</v>
      </c>
      <c r="M9" s="31" t="b">
        <f t="shared" si="5"/>
        <v>1</v>
      </c>
      <c r="N9" s="31" t="b">
        <f t="shared" si="5"/>
        <v>0</v>
      </c>
      <c r="O9" s="31" t="b">
        <f t="shared" si="5"/>
        <v>0</v>
      </c>
      <c r="P9" s="30"/>
      <c r="Q9" s="614"/>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row>
    <row r="10" spans="1:167" ht="21" customHeight="1">
      <c r="A10" s="399"/>
      <c r="B10" s="399"/>
      <c r="C10" s="399"/>
      <c r="D10" s="604" t="s">
        <v>51</v>
      </c>
      <c r="E10" s="604"/>
      <c r="F10" s="604"/>
      <c r="G10" s="604"/>
      <c r="H10" s="604"/>
      <c r="I10" s="604"/>
      <c r="J10" s="604"/>
      <c r="K10" s="604"/>
      <c r="L10" s="604"/>
      <c r="M10" s="604"/>
      <c r="N10" s="604"/>
      <c r="O10" s="604"/>
      <c r="P10" s="417"/>
      <c r="Q10" s="417"/>
    </row>
    <row r="11" spans="1:167" ht="13.15" customHeight="1">
      <c r="A11" s="399"/>
      <c r="B11" s="399"/>
      <c r="C11" s="399"/>
      <c r="D11" s="604"/>
      <c r="E11" s="604"/>
      <c r="F11" s="604"/>
      <c r="G11" s="604"/>
      <c r="H11" s="604"/>
      <c r="I11" s="604"/>
      <c r="J11" s="604"/>
      <c r="K11" s="604"/>
      <c r="L11" s="604"/>
      <c r="M11" s="604"/>
      <c r="N11" s="604"/>
      <c r="O11" s="604"/>
      <c r="P11" s="417"/>
      <c r="Q11" s="417"/>
    </row>
    <row r="12" spans="1:167" ht="13.15" customHeight="1">
      <c r="A12" s="399"/>
      <c r="B12" s="399"/>
      <c r="C12" s="399"/>
      <c r="D12" s="605"/>
      <c r="E12" s="605"/>
      <c r="F12" s="605"/>
      <c r="G12" s="605"/>
      <c r="H12" s="605"/>
      <c r="I12" s="605"/>
      <c r="J12" s="605"/>
      <c r="K12" s="605"/>
      <c r="L12" s="605"/>
      <c r="M12" s="605"/>
      <c r="N12" s="605"/>
      <c r="O12" s="605"/>
      <c r="P12" s="605"/>
      <c r="Q12" s="606"/>
    </row>
    <row r="13" spans="1:167" ht="22.5" customHeight="1">
      <c r="A13" s="399"/>
      <c r="B13" s="399"/>
      <c r="C13" s="399"/>
      <c r="D13" s="587" t="s">
        <v>52</v>
      </c>
      <c r="E13" s="587"/>
      <c r="F13" s="587"/>
      <c r="G13" s="587"/>
      <c r="H13" s="587"/>
      <c r="I13" s="587"/>
      <c r="J13" s="587"/>
      <c r="K13" s="587"/>
      <c r="L13" s="587"/>
      <c r="M13" s="587"/>
      <c r="N13" s="587"/>
      <c r="O13" s="587"/>
      <c r="P13" s="607"/>
      <c r="Q13" s="608"/>
    </row>
    <row r="14" spans="1:167" ht="33" customHeight="1">
      <c r="A14" s="399"/>
      <c r="B14" s="399"/>
      <c r="C14" s="399"/>
      <c r="D14" s="587"/>
      <c r="E14" s="587"/>
      <c r="F14" s="587"/>
      <c r="G14" s="587"/>
      <c r="H14" s="587"/>
      <c r="I14" s="587"/>
      <c r="J14" s="587"/>
      <c r="K14" s="587"/>
      <c r="L14" s="587"/>
      <c r="M14" s="587"/>
      <c r="N14" s="587"/>
      <c r="O14" s="587"/>
      <c r="P14" s="607"/>
      <c r="Q14" s="608"/>
    </row>
    <row r="15" spans="1:167" ht="24.75" customHeight="1" thickBot="1">
      <c r="A15" s="399"/>
      <c r="B15" s="399"/>
      <c r="C15" s="585" t="s">
        <v>53</v>
      </c>
      <c r="D15" s="585"/>
      <c r="E15" s="585"/>
      <c r="F15" s="585">
        <v>1</v>
      </c>
      <c r="G15" s="585"/>
      <c r="H15" s="585">
        <v>2</v>
      </c>
      <c r="I15" s="585"/>
      <c r="J15" s="585">
        <v>3</v>
      </c>
      <c r="K15" s="585"/>
      <c r="L15" s="585">
        <v>4</v>
      </c>
      <c r="M15" s="585"/>
      <c r="N15" s="585">
        <v>5</v>
      </c>
      <c r="O15" s="585"/>
      <c r="P15" s="607"/>
      <c r="Q15" s="608"/>
    </row>
    <row r="16" spans="1:167" ht="22.15" customHeight="1" thickBot="1">
      <c r="A16" s="399"/>
      <c r="B16" s="399"/>
      <c r="C16" s="588" t="s">
        <v>54</v>
      </c>
      <c r="D16" s="588"/>
      <c r="E16" s="588"/>
      <c r="F16" s="594" t="e">
        <f>SUMIF($D$7:$O$7,$F15,$D$4:$O$4)</f>
        <v>#VALUE!</v>
      </c>
      <c r="G16" s="595"/>
      <c r="H16" s="596" t="e">
        <f>SUMIF($D$7:$O$7,$H15,$D$4:$O$4)</f>
        <v>#VALUE!</v>
      </c>
      <c r="I16" s="597"/>
      <c r="J16" s="598" t="e">
        <f>SUMIF($D$7:$O$7,$J15,$D$4:$O$4)</f>
        <v>#VALUE!</v>
      </c>
      <c r="K16" s="599"/>
      <c r="L16" s="600" t="e">
        <f>SUMIF($D$7:$O$7,$L15,$D$4:$O$4)</f>
        <v>#VALUE!</v>
      </c>
      <c r="M16" s="601"/>
      <c r="N16" s="602">
        <f>SUMIF($D$7:$O$7,$N15,$D$4:$O$4)</f>
        <v>0</v>
      </c>
      <c r="O16" s="603"/>
      <c r="P16" s="607"/>
      <c r="Q16" s="608"/>
    </row>
    <row r="17" spans="1:17" ht="22.15" customHeight="1" thickBot="1">
      <c r="A17" s="399"/>
      <c r="B17" s="399"/>
      <c r="C17" s="588" t="s">
        <v>55</v>
      </c>
      <c r="D17" s="588"/>
      <c r="E17" s="588"/>
      <c r="F17" s="594" t="e">
        <f>SUMIF($D$7:$O$7,$F15,$D$5:$O$5)</f>
        <v>#VALUE!</v>
      </c>
      <c r="G17" s="595"/>
      <c r="H17" s="596" t="e">
        <f>SUMIF($D$7:$O$7,$H15,$D$5:$O$5)</f>
        <v>#VALUE!</v>
      </c>
      <c r="I17" s="597"/>
      <c r="J17" s="598" t="e">
        <f>SUMIF($D$7:$O$7,$J15,$D$5:$O$5)</f>
        <v>#VALUE!</v>
      </c>
      <c r="K17" s="599"/>
      <c r="L17" s="600" t="e">
        <f>SUMIF($D$7:$O$7,$L15,$D$5:$O$5)</f>
        <v>#VALUE!</v>
      </c>
      <c r="M17" s="601"/>
      <c r="N17" s="602">
        <f>SUMIF($D$7:$O$7,$N15,$D$5:$O$5)</f>
        <v>0</v>
      </c>
      <c r="O17" s="603"/>
      <c r="P17" s="607"/>
      <c r="Q17" s="608"/>
    </row>
    <row r="18" spans="1:17" ht="22.15" customHeight="1" thickBot="1">
      <c r="A18" s="399"/>
      <c r="B18" s="399"/>
      <c r="C18" s="588" t="s">
        <v>56</v>
      </c>
      <c r="D18" s="588"/>
      <c r="E18" s="588"/>
      <c r="F18" s="594" t="e">
        <f>SUMIF($D$7:$O$7,$F15,$D$6:$O$6)</f>
        <v>#VALUE!</v>
      </c>
      <c r="G18" s="595"/>
      <c r="H18" s="596" t="e">
        <f>SUMIF($D$7:$O$7,$H15,$D$6:$O$6)</f>
        <v>#VALUE!</v>
      </c>
      <c r="I18" s="597"/>
      <c r="J18" s="598" t="e">
        <f>SUMIF($D$7:$O$7,$J15,$D$6:$O$6)</f>
        <v>#VALUE!</v>
      </c>
      <c r="K18" s="599"/>
      <c r="L18" s="600" t="e">
        <f>SUMIF($D$7:$O$7,$L15,$D$6:$O$6)</f>
        <v>#VALUE!</v>
      </c>
      <c r="M18" s="601"/>
      <c r="N18" s="602">
        <f>SUMIF($D$7:$O$7,$N15,$D$6:$O$6)</f>
        <v>0</v>
      </c>
      <c r="O18" s="603"/>
      <c r="P18" s="607"/>
      <c r="Q18" s="608"/>
    </row>
    <row r="19" spans="1:17" ht="22.15" customHeight="1">
      <c r="A19" s="609"/>
      <c r="B19" s="609"/>
      <c r="C19" s="609"/>
      <c r="D19" s="609"/>
      <c r="E19" s="609"/>
      <c r="F19" s="609"/>
      <c r="G19" s="609"/>
      <c r="H19" s="609"/>
      <c r="I19" s="609"/>
      <c r="J19" s="609"/>
      <c r="K19" s="609"/>
      <c r="L19" s="609"/>
      <c r="M19" s="609"/>
      <c r="N19" s="609"/>
      <c r="O19" s="610"/>
      <c r="P19" s="607"/>
      <c r="Q19" s="608"/>
    </row>
    <row r="20" spans="1:17" ht="22.15" customHeight="1">
      <c r="A20" s="479"/>
      <c r="B20" s="479"/>
      <c r="C20" s="479"/>
      <c r="D20" s="590"/>
      <c r="E20" s="590"/>
      <c r="F20" s="590"/>
      <c r="G20" s="590"/>
      <c r="H20" s="590"/>
      <c r="I20" s="590"/>
      <c r="J20" s="590"/>
      <c r="K20" s="590"/>
      <c r="L20" s="590"/>
      <c r="M20" s="590"/>
      <c r="N20" s="590"/>
      <c r="O20" s="590"/>
      <c r="P20" s="590"/>
      <c r="Q20" s="591"/>
    </row>
    <row r="21" spans="1:17" ht="22.15" customHeight="1">
      <c r="A21" s="480"/>
      <c r="B21" s="480"/>
      <c r="C21" s="480"/>
      <c r="D21" s="592"/>
      <c r="E21" s="592"/>
      <c r="F21" s="592"/>
      <c r="G21" s="592"/>
      <c r="H21" s="592"/>
      <c r="I21" s="592"/>
      <c r="J21" s="592"/>
      <c r="K21" s="592"/>
      <c r="L21" s="592"/>
      <c r="M21" s="592"/>
      <c r="N21" s="592"/>
      <c r="O21" s="592"/>
      <c r="P21" s="592"/>
      <c r="Q21" s="593"/>
    </row>
    <row r="22" spans="1:17" ht="13.15" customHeight="1">
      <c r="A22" s="32"/>
      <c r="B22" s="32"/>
      <c r="C22" s="32"/>
      <c r="D22" s="33"/>
      <c r="E22" s="33"/>
      <c r="F22" s="33"/>
      <c r="G22" s="33"/>
      <c r="H22" s="33"/>
      <c r="I22" s="33"/>
      <c r="J22" s="33"/>
      <c r="K22" s="33"/>
      <c r="L22" s="33"/>
      <c r="M22" s="33"/>
      <c r="N22" s="33"/>
      <c r="O22" s="33"/>
      <c r="P22" s="34"/>
    </row>
    <row r="23" spans="1:17" ht="13.15" customHeight="1">
      <c r="A23" s="32"/>
      <c r="B23" s="32"/>
      <c r="C23" s="32"/>
      <c r="D23" s="33"/>
      <c r="E23" s="33"/>
      <c r="F23" s="33"/>
      <c r="G23" s="33"/>
      <c r="H23" s="33"/>
      <c r="I23" s="33"/>
      <c r="J23" s="33"/>
      <c r="K23" s="33"/>
      <c r="L23" s="33"/>
      <c r="M23" s="33"/>
      <c r="N23" s="33"/>
      <c r="O23" s="33"/>
      <c r="P23" s="34"/>
    </row>
    <row r="24" spans="1:17" ht="13.15" customHeight="1">
      <c r="A24" s="32"/>
      <c r="B24" s="32"/>
      <c r="C24" s="32"/>
      <c r="D24" s="33"/>
      <c r="E24" s="33"/>
      <c r="F24" s="33"/>
      <c r="G24" s="33"/>
      <c r="H24" s="33"/>
      <c r="I24" s="33"/>
      <c r="J24" s="33"/>
      <c r="K24" s="33"/>
      <c r="L24" s="33"/>
      <c r="M24" s="33"/>
      <c r="N24" s="33"/>
      <c r="O24" s="33"/>
      <c r="P24" s="34"/>
    </row>
    <row r="25" spans="1:17" ht="13.15" customHeight="1">
      <c r="A25" s="32"/>
      <c r="B25" s="32"/>
      <c r="C25" s="32"/>
      <c r="D25" s="33"/>
      <c r="E25" s="33"/>
      <c r="F25" s="33"/>
      <c r="G25" s="33"/>
      <c r="H25" s="33"/>
      <c r="I25" s="33"/>
      <c r="J25" s="33"/>
      <c r="K25" s="33"/>
      <c r="L25" s="33"/>
      <c r="M25" s="33"/>
      <c r="N25" s="33"/>
      <c r="O25" s="33"/>
      <c r="P25" s="34"/>
    </row>
    <row r="26" spans="1:17" ht="13.15" customHeight="1">
      <c r="A26" s="32"/>
      <c r="B26" s="32"/>
      <c r="C26" s="32"/>
      <c r="D26" s="33"/>
      <c r="E26" s="33"/>
      <c r="F26" s="33"/>
      <c r="G26" s="33"/>
      <c r="H26" s="33"/>
      <c r="I26" s="33"/>
      <c r="J26" s="33"/>
      <c r="K26" s="33"/>
      <c r="L26" s="33"/>
      <c r="M26" s="33"/>
      <c r="N26" s="33"/>
      <c r="O26" s="33"/>
      <c r="P26" s="34"/>
    </row>
    <row r="27" spans="1:17" ht="13.15" customHeight="1">
      <c r="A27" s="32"/>
      <c r="B27" s="32"/>
      <c r="C27" s="32"/>
      <c r="L27" s="33"/>
      <c r="M27" s="33"/>
      <c r="N27" s="33"/>
      <c r="O27" s="33"/>
      <c r="P27" s="34"/>
    </row>
    <row r="34" ht="16.5" customHeight="1"/>
  </sheetData>
  <mergeCells count="39">
    <mergeCell ref="A1:P1"/>
    <mergeCell ref="Q1:Q9"/>
    <mergeCell ref="A2:C2"/>
    <mergeCell ref="A4:B4"/>
    <mergeCell ref="A5:B5"/>
    <mergeCell ref="A6:B6"/>
    <mergeCell ref="A7:B7"/>
    <mergeCell ref="A8:B8"/>
    <mergeCell ref="A9:B9"/>
    <mergeCell ref="D10:O11"/>
    <mergeCell ref="D12:Q12"/>
    <mergeCell ref="D13:O14"/>
    <mergeCell ref="P13:Q19"/>
    <mergeCell ref="C15:E15"/>
    <mergeCell ref="F15:G15"/>
    <mergeCell ref="H15:I15"/>
    <mergeCell ref="J15:K15"/>
    <mergeCell ref="L15:M15"/>
    <mergeCell ref="A19:O19"/>
    <mergeCell ref="N17:O17"/>
    <mergeCell ref="N15:O15"/>
    <mergeCell ref="C16:E16"/>
    <mergeCell ref="F16:G16"/>
    <mergeCell ref="H16:I16"/>
    <mergeCell ref="J16:K16"/>
    <mergeCell ref="L16:M16"/>
    <mergeCell ref="N16:O16"/>
    <mergeCell ref="C17:E17"/>
    <mergeCell ref="F17:G17"/>
    <mergeCell ref="H17:I17"/>
    <mergeCell ref="J17:K17"/>
    <mergeCell ref="L17:M17"/>
    <mergeCell ref="D20:Q21"/>
    <mergeCell ref="C18:E18"/>
    <mergeCell ref="F18:G18"/>
    <mergeCell ref="H18:I18"/>
    <mergeCell ref="J18:K18"/>
    <mergeCell ref="L18:M18"/>
    <mergeCell ref="N18:O18"/>
  </mergeCells>
  <conditionalFormatting sqref="D7:O7">
    <cfRule type="cellIs" dxfId="22" priority="1" operator="equal">
      <formula>5</formula>
    </cfRule>
    <cfRule type="cellIs" dxfId="21" priority="2" operator="equal">
      <formula>4</formula>
    </cfRule>
    <cfRule type="cellIs" dxfId="20" priority="3" operator="equal">
      <formula>3</formula>
    </cfRule>
    <cfRule type="cellIs" dxfId="19" priority="4" operator="equal">
      <formula>2</formula>
    </cfRule>
    <cfRule type="cellIs" dxfId="18" priority="5" operator="equal">
      <formula>1</formula>
    </cfRule>
    <cfRule type="cellIs" dxfId="17" priority="6" operator="equal">
      <formula>1</formula>
    </cfRule>
    <cfRule type="cellIs" dxfId="16" priority="7" operator="equal">
      <formula>2</formula>
    </cfRule>
    <cfRule type="cellIs" dxfId="15" priority="8" operator="equal">
      <formula>3</formula>
    </cfRule>
    <cfRule type="cellIs" dxfId="14" priority="9" operator="equal">
      <formula>4</formula>
    </cfRule>
    <cfRule type="cellIs" dxfId="13" priority="10" operator="equal">
      <formula>5</formula>
    </cfRule>
  </conditionalFormatting>
  <pageMargins left="0.23622047244094491" right="0.23622047244094491" top="0.74803149606299213" bottom="0.74803149606299213" header="0.31496062992125984" footer="0.31496062992125984"/>
  <pageSetup paperSize="9" scale="65" orientation="landscape" horizontalDpi="300" verticalDpi="300" r:id="rId1"/>
  <headerFooter alignWithMargins="0">
    <oddHeader>&amp;L&amp;A&amp;CSelf-Employment Assistance</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455F-ED86-4AF9-868C-474D3DF8ECE3}">
  <sheetPr codeName="Sheet4">
    <tabColor theme="4" tint="0.39997558519241921"/>
    <pageSetUpPr fitToPage="1"/>
  </sheetPr>
  <dimension ref="A1:AB58"/>
  <sheetViews>
    <sheetView zoomScale="85" zoomScaleNormal="85" workbookViewId="0">
      <pane ySplit="5" topLeftCell="A30" activePane="bottomLeft" state="frozen"/>
      <selection activeCell="H7" sqref="H7"/>
      <selection pane="bottomLeft" activeCell="Q12" sqref="Q12"/>
    </sheetView>
  </sheetViews>
  <sheetFormatPr defaultColWidth="8.7109375" defaultRowHeight="12.75"/>
  <cols>
    <col min="1" max="1" width="71.5703125" style="427" customWidth="1"/>
    <col min="2" max="14" width="13.28515625" style="427" customWidth="1"/>
    <col min="15" max="16" width="11.7109375" style="427" customWidth="1"/>
    <col min="17" max="17" width="12.28515625" style="427" customWidth="1"/>
    <col min="18" max="21" width="8.7109375" style="427" hidden="1" customWidth="1"/>
    <col min="22" max="22" width="10.7109375" style="427" hidden="1" customWidth="1"/>
    <col min="23" max="25" width="8.7109375" style="427" hidden="1" customWidth="1"/>
    <col min="26" max="27" width="0" style="427" hidden="1" customWidth="1"/>
    <col min="28" max="16384" width="8.7109375" style="427"/>
  </cols>
  <sheetData>
    <row r="1" spans="1:22" ht="28.5" customHeight="1" thickBot="1">
      <c r="A1" s="55" t="s">
        <v>57</v>
      </c>
      <c r="B1" s="635" t="str">
        <f>'Set Up Details'!C2</f>
        <v>Test1</v>
      </c>
      <c r="C1" s="636"/>
      <c r="D1" s="636"/>
      <c r="E1" s="636"/>
      <c r="F1" s="636"/>
      <c r="G1" s="636"/>
      <c r="H1" s="636"/>
      <c r="I1" s="636"/>
      <c r="J1" s="636"/>
      <c r="K1" s="636"/>
      <c r="L1" s="636"/>
      <c r="M1" s="636"/>
      <c r="N1" s="637"/>
      <c r="Q1" s="428"/>
      <c r="R1" s="428"/>
      <c r="S1" s="428"/>
      <c r="T1" s="428"/>
      <c r="U1" s="428"/>
      <c r="V1" s="428"/>
    </row>
    <row r="2" spans="1:22" ht="20.25">
      <c r="A2" s="587" t="s">
        <v>58</v>
      </c>
      <c r="B2" s="587"/>
      <c r="C2" s="587"/>
      <c r="D2" s="587"/>
      <c r="E2" s="587"/>
      <c r="F2" s="587"/>
      <c r="G2" s="587"/>
      <c r="H2" s="587"/>
      <c r="I2" s="587"/>
      <c r="J2" s="587"/>
      <c r="K2" s="587"/>
      <c r="L2" s="587"/>
      <c r="M2" s="587"/>
      <c r="N2" s="587"/>
      <c r="Q2" s="428"/>
      <c r="R2" s="428"/>
      <c r="S2" s="428"/>
      <c r="T2" s="428"/>
      <c r="U2" s="428"/>
      <c r="V2" s="428"/>
    </row>
    <row r="3" spans="1:22" ht="18.75" thickBot="1">
      <c r="A3" s="429"/>
      <c r="B3" s="638" t="s">
        <v>59</v>
      </c>
      <c r="C3" s="638"/>
      <c r="D3" s="638"/>
      <c r="E3" s="638"/>
      <c r="F3" s="638"/>
      <c r="G3" s="638"/>
      <c r="Q3" s="428"/>
      <c r="R3" s="428"/>
      <c r="S3" s="428"/>
      <c r="T3" s="428"/>
      <c r="U3" s="428"/>
      <c r="V3" s="428"/>
    </row>
    <row r="4" spans="1:22" ht="15.75" thickBot="1">
      <c r="A4" s="430"/>
      <c r="B4" s="442" t="str">
        <f>'Tables and Calculations'!B2</f>
        <v>Jan</v>
      </c>
      <c r="C4" s="442" t="str">
        <f>'Tables and Calculations'!C2</f>
        <v>Feb</v>
      </c>
      <c r="D4" s="442" t="str">
        <f>'Tables and Calculations'!D2</f>
        <v>Mar</v>
      </c>
      <c r="E4" s="442" t="str">
        <f>'Tables and Calculations'!E2</f>
        <v>Apr</v>
      </c>
      <c r="F4" s="442" t="str">
        <f>'Tables and Calculations'!F2</f>
        <v>May</v>
      </c>
      <c r="G4" s="442" t="str">
        <f>'Tables and Calculations'!G2</f>
        <v>Jun</v>
      </c>
      <c r="H4" s="442" t="str">
        <f>'Tables and Calculations'!H2</f>
        <v>Jul</v>
      </c>
      <c r="I4" s="442" t="str">
        <f>'Tables and Calculations'!I2</f>
        <v>Aug</v>
      </c>
      <c r="J4" s="442" t="str">
        <f>'Tables and Calculations'!J2</f>
        <v>Sep</v>
      </c>
      <c r="K4" s="442" t="str">
        <f>'Tables and Calculations'!K2</f>
        <v>Oct</v>
      </c>
      <c r="L4" s="442" t="str">
        <f>'Tables and Calculations'!L2</f>
        <v>Nov</v>
      </c>
      <c r="M4" s="442" t="str">
        <f>'Tables and Calculations'!M2</f>
        <v>Dec</v>
      </c>
      <c r="N4" s="442" t="s">
        <v>60</v>
      </c>
      <c r="Q4" s="428"/>
      <c r="R4" s="428"/>
      <c r="S4" s="428"/>
      <c r="T4" s="428"/>
      <c r="U4" s="428"/>
      <c r="V4" s="428"/>
    </row>
    <row r="5" spans="1:22" ht="20.25" customHeight="1" thickBot="1">
      <c r="A5" s="38" t="s">
        <v>61</v>
      </c>
      <c r="B5" s="445"/>
      <c r="C5" s="445">
        <f>B58</f>
        <v>0</v>
      </c>
      <c r="D5" s="445">
        <f t="shared" ref="D5:M5" si="0">C58</f>
        <v>0</v>
      </c>
      <c r="E5" s="445">
        <f t="shared" si="0"/>
        <v>0</v>
      </c>
      <c r="F5" s="445">
        <f t="shared" si="0"/>
        <v>0</v>
      </c>
      <c r="G5" s="445">
        <f t="shared" si="0"/>
        <v>0</v>
      </c>
      <c r="H5" s="445">
        <f t="shared" si="0"/>
        <v>0</v>
      </c>
      <c r="I5" s="445">
        <f t="shared" si="0"/>
        <v>0</v>
      </c>
      <c r="J5" s="445">
        <f t="shared" si="0"/>
        <v>0</v>
      </c>
      <c r="K5" s="445">
        <f t="shared" si="0"/>
        <v>0</v>
      </c>
      <c r="L5" s="445">
        <f t="shared" si="0"/>
        <v>0</v>
      </c>
      <c r="M5" s="445">
        <f t="shared" si="0"/>
        <v>0</v>
      </c>
      <c r="N5" s="445">
        <f>B5</f>
        <v>0</v>
      </c>
      <c r="Q5" s="428"/>
      <c r="R5" s="428"/>
      <c r="S5" s="428"/>
      <c r="T5" s="428"/>
      <c r="U5" s="428"/>
      <c r="V5" s="428"/>
    </row>
    <row r="6" spans="1:22" ht="21.6" customHeight="1" thickBot="1">
      <c r="A6" s="423" t="s">
        <v>62</v>
      </c>
      <c r="B6" s="630"/>
      <c r="C6" s="630"/>
      <c r="D6" s="630"/>
      <c r="E6" s="630"/>
      <c r="F6" s="630"/>
      <c r="G6" s="630"/>
      <c r="H6" s="630"/>
      <c r="I6" s="630"/>
      <c r="J6" s="630"/>
      <c r="K6" s="630"/>
      <c r="L6" s="630"/>
      <c r="M6" s="630"/>
      <c r="N6" s="631"/>
      <c r="Q6" s="428"/>
      <c r="R6" s="428"/>
      <c r="S6" s="428"/>
      <c r="T6" s="428"/>
      <c r="U6" s="428"/>
      <c r="V6" s="428"/>
    </row>
    <row r="7" spans="1:22" ht="15.75" thickBot="1">
      <c r="A7" s="444" t="str">
        <f>IF('Cash Flow Year 1'!O70&gt;1, "Directors Salary","Drawings from business")</f>
        <v>Drawings from business</v>
      </c>
      <c r="B7" s="446">
        <f>IF('Set Up Details'!$D$6="Company",'Cash Flow Year 1'!C70,'Cash Flow Year 1'!C82)</f>
        <v>0</v>
      </c>
      <c r="C7" s="447">
        <f>IF('Set Up Details'!$D$6="Company",'Cash Flow Year 1'!D70,'Cash Flow Year 1'!D82)</f>
        <v>0</v>
      </c>
      <c r="D7" s="447">
        <f>IF('Set Up Details'!$D$6="Company",'Cash Flow Year 1'!E70,'Cash Flow Year 1'!E82)</f>
        <v>0</v>
      </c>
      <c r="E7" s="447">
        <f>IF('Set Up Details'!$D$6="Company",'Cash Flow Year 1'!F70,'Cash Flow Year 1'!F82)</f>
        <v>0</v>
      </c>
      <c r="F7" s="447">
        <f>IF('Set Up Details'!$D$6="Company",'Cash Flow Year 1'!G70,'Cash Flow Year 1'!G82)</f>
        <v>0</v>
      </c>
      <c r="G7" s="447">
        <f>IF('Set Up Details'!$D$6="Company",'Cash Flow Year 1'!H70,'Cash Flow Year 1'!H82)</f>
        <v>0</v>
      </c>
      <c r="H7" s="447">
        <f>IF('Set Up Details'!$D$6="Company",'Cash Flow Year 1'!I70,'Cash Flow Year 1'!I82)</f>
        <v>0</v>
      </c>
      <c r="I7" s="447">
        <f>IF('Set Up Details'!$D$6="Company",'Cash Flow Year 1'!J70,'Cash Flow Year 1'!J82)</f>
        <v>0</v>
      </c>
      <c r="J7" s="447">
        <f>IF('Set Up Details'!$D$6="Company",'Cash Flow Year 1'!K70,'Cash Flow Year 1'!K82)</f>
        <v>0</v>
      </c>
      <c r="K7" s="447">
        <f>IF('Set Up Details'!$D$6="Company",'Cash Flow Year 1'!L70,'Cash Flow Year 1'!L82)</f>
        <v>0</v>
      </c>
      <c r="L7" s="447">
        <f>IF('Set Up Details'!$D$6="Company",'Cash Flow Year 1'!M70,'Cash Flow Year 1'!M82)</f>
        <v>0</v>
      </c>
      <c r="M7" s="447">
        <f>IF('Set Up Details'!$D$6="Company",'Cash Flow Year 1'!N70,'Cash Flow Year 1'!N82)</f>
        <v>0</v>
      </c>
      <c r="N7" s="445">
        <f t="shared" ref="N7" si="1">SUM(B7:M7)</f>
        <v>0</v>
      </c>
      <c r="Q7" s="428"/>
      <c r="R7" s="428"/>
      <c r="S7" s="428"/>
      <c r="T7" s="428"/>
      <c r="U7" s="428"/>
      <c r="V7" s="428"/>
    </row>
    <row r="8" spans="1:22" ht="21" customHeight="1" thickBot="1">
      <c r="A8" s="423" t="s">
        <v>63</v>
      </c>
      <c r="B8" s="632"/>
      <c r="C8" s="632"/>
      <c r="D8" s="632"/>
      <c r="E8" s="632"/>
      <c r="F8" s="632"/>
      <c r="G8" s="632"/>
      <c r="H8" s="632"/>
      <c r="I8" s="632"/>
      <c r="J8" s="632"/>
      <c r="K8" s="632"/>
      <c r="L8" s="632"/>
      <c r="M8" s="632"/>
      <c r="N8" s="633"/>
      <c r="Q8" s="428"/>
      <c r="R8" s="428"/>
      <c r="S8" s="428"/>
      <c r="T8" s="428"/>
      <c r="U8" s="428"/>
      <c r="V8" s="428"/>
    </row>
    <row r="9" spans="1:22" ht="15.75" thickBot="1">
      <c r="A9" s="444" t="s">
        <v>64</v>
      </c>
      <c r="B9" s="443"/>
      <c r="C9" s="443"/>
      <c r="D9" s="443"/>
      <c r="E9" s="443"/>
      <c r="F9" s="443"/>
      <c r="G9" s="443"/>
      <c r="H9" s="443"/>
      <c r="I9" s="443"/>
      <c r="J9" s="443"/>
      <c r="K9" s="443"/>
      <c r="L9" s="443"/>
      <c r="M9" s="443"/>
      <c r="N9" s="445">
        <f>SUM(B9:M9)</f>
        <v>0</v>
      </c>
      <c r="Q9" s="428"/>
      <c r="R9" s="428"/>
      <c r="S9" s="428"/>
      <c r="T9" s="428"/>
      <c r="U9" s="428"/>
      <c r="V9" s="428"/>
    </row>
    <row r="10" spans="1:22" ht="15.75" thickBot="1">
      <c r="A10" s="444" t="s">
        <v>65</v>
      </c>
      <c r="B10" s="443"/>
      <c r="C10" s="443"/>
      <c r="D10" s="443"/>
      <c r="E10" s="443"/>
      <c r="F10" s="443"/>
      <c r="G10" s="443"/>
      <c r="H10" s="443"/>
      <c r="I10" s="443"/>
      <c r="J10" s="443"/>
      <c r="K10" s="443"/>
      <c r="L10" s="443"/>
      <c r="M10" s="443"/>
      <c r="N10" s="445">
        <f t="shared" ref="N10:N13" si="2">SUM(B10:M10)</f>
        <v>0</v>
      </c>
      <c r="Q10" s="428"/>
      <c r="R10" s="428"/>
      <c r="S10" s="428"/>
      <c r="T10" s="428"/>
      <c r="U10" s="428"/>
      <c r="V10" s="428"/>
    </row>
    <row r="11" spans="1:22" ht="15.75" thickBot="1">
      <c r="A11" s="444" t="s">
        <v>66</v>
      </c>
      <c r="B11" s="443"/>
      <c r="C11" s="443"/>
      <c r="D11" s="443"/>
      <c r="E11" s="443"/>
      <c r="F11" s="443"/>
      <c r="G11" s="443"/>
      <c r="H11" s="443"/>
      <c r="I11" s="443"/>
      <c r="J11" s="443"/>
      <c r="K11" s="443"/>
      <c r="L11" s="443"/>
      <c r="M11" s="443"/>
      <c r="N11" s="445">
        <f t="shared" si="2"/>
        <v>0</v>
      </c>
      <c r="Q11" s="428"/>
      <c r="R11" s="428"/>
      <c r="S11" s="428"/>
      <c r="T11" s="428"/>
      <c r="U11" s="428"/>
      <c r="V11" s="428"/>
    </row>
    <row r="12" spans="1:22" ht="15.75" thickBot="1">
      <c r="A12" s="444" t="s">
        <v>67</v>
      </c>
      <c r="B12" s="443"/>
      <c r="C12" s="443"/>
      <c r="D12" s="443"/>
      <c r="E12" s="443"/>
      <c r="F12" s="443"/>
      <c r="G12" s="443"/>
      <c r="H12" s="443"/>
      <c r="I12" s="443"/>
      <c r="J12" s="443"/>
      <c r="K12" s="443"/>
      <c r="L12" s="443"/>
      <c r="M12" s="443"/>
      <c r="N12" s="445">
        <f t="shared" si="2"/>
        <v>0</v>
      </c>
      <c r="Q12" s="428"/>
      <c r="R12" s="428"/>
      <c r="S12" s="428"/>
      <c r="T12" s="428"/>
      <c r="U12" s="428"/>
      <c r="V12" s="428"/>
    </row>
    <row r="13" spans="1:22" ht="15.75" thickBot="1">
      <c r="A13" s="444"/>
      <c r="B13" s="443"/>
      <c r="C13" s="443"/>
      <c r="D13" s="443"/>
      <c r="E13" s="443"/>
      <c r="F13" s="443"/>
      <c r="G13" s="443"/>
      <c r="H13" s="443"/>
      <c r="I13" s="443"/>
      <c r="J13" s="443"/>
      <c r="K13" s="443"/>
      <c r="L13" s="443"/>
      <c r="M13" s="443"/>
      <c r="N13" s="445">
        <f t="shared" si="2"/>
        <v>0</v>
      </c>
    </row>
    <row r="14" spans="1:22" ht="18" customHeight="1" thickBot="1">
      <c r="A14" s="226" t="s">
        <v>68</v>
      </c>
      <c r="B14" s="445">
        <f t="shared" ref="B14:N14" si="3">SUM(B7:B13)</f>
        <v>0</v>
      </c>
      <c r="C14" s="445">
        <f t="shared" si="3"/>
        <v>0</v>
      </c>
      <c r="D14" s="445">
        <f t="shared" si="3"/>
        <v>0</v>
      </c>
      <c r="E14" s="445">
        <f t="shared" si="3"/>
        <v>0</v>
      </c>
      <c r="F14" s="445">
        <f t="shared" si="3"/>
        <v>0</v>
      </c>
      <c r="G14" s="445">
        <f t="shared" si="3"/>
        <v>0</v>
      </c>
      <c r="H14" s="445">
        <f t="shared" si="3"/>
        <v>0</v>
      </c>
      <c r="I14" s="445">
        <f t="shared" si="3"/>
        <v>0</v>
      </c>
      <c r="J14" s="445">
        <f t="shared" si="3"/>
        <v>0</v>
      </c>
      <c r="K14" s="445">
        <f t="shared" si="3"/>
        <v>0</v>
      </c>
      <c r="L14" s="445">
        <f t="shared" si="3"/>
        <v>0</v>
      </c>
      <c r="M14" s="445">
        <f t="shared" si="3"/>
        <v>0</v>
      </c>
      <c r="N14" s="445">
        <f t="shared" si="3"/>
        <v>0</v>
      </c>
    </row>
    <row r="15" spans="1:22" ht="21" customHeight="1" thickBot="1">
      <c r="A15" s="423" t="s">
        <v>69</v>
      </c>
      <c r="B15" s="431"/>
      <c r="C15" s="431"/>
      <c r="D15" s="431"/>
      <c r="E15" s="431"/>
      <c r="F15" s="431"/>
      <c r="G15" s="431"/>
      <c r="H15" s="431"/>
      <c r="I15" s="431"/>
      <c r="J15" s="431"/>
      <c r="K15" s="431"/>
      <c r="L15" s="431"/>
      <c r="M15" s="432"/>
      <c r="N15" s="433"/>
    </row>
    <row r="16" spans="1:22" ht="15.75" thickBot="1">
      <c r="A16" s="444" t="s">
        <v>70</v>
      </c>
      <c r="B16" s="443"/>
      <c r="C16" s="443"/>
      <c r="D16" s="443"/>
      <c r="E16" s="443"/>
      <c r="F16" s="443"/>
      <c r="G16" s="443"/>
      <c r="H16" s="443"/>
      <c r="I16" s="443"/>
      <c r="J16" s="443"/>
      <c r="K16" s="443"/>
      <c r="L16" s="443"/>
      <c r="M16" s="443"/>
      <c r="N16" s="445">
        <f>SUM(B16:M16)</f>
        <v>0</v>
      </c>
    </row>
    <row r="17" spans="1:17" ht="15.75" thickBot="1">
      <c r="A17" s="444" t="s">
        <v>71</v>
      </c>
      <c r="B17" s="443"/>
      <c r="C17" s="443"/>
      <c r="D17" s="443"/>
      <c r="E17" s="443"/>
      <c r="F17" s="443"/>
      <c r="G17" s="443"/>
      <c r="H17" s="443"/>
      <c r="I17" s="443"/>
      <c r="J17" s="443"/>
      <c r="K17" s="443"/>
      <c r="L17" s="443"/>
      <c r="M17" s="443"/>
      <c r="N17" s="445">
        <f t="shared" ref="N17:N40" si="4">SUM(B17:M17)</f>
        <v>0</v>
      </c>
    </row>
    <row r="18" spans="1:17" ht="18.75" thickBot="1">
      <c r="A18" s="444" t="s">
        <v>72</v>
      </c>
      <c r="B18" s="443"/>
      <c r="C18" s="443"/>
      <c r="D18" s="443"/>
      <c r="E18" s="443"/>
      <c r="F18" s="443"/>
      <c r="G18" s="443"/>
      <c r="H18" s="443"/>
      <c r="I18" s="443"/>
      <c r="J18" s="443"/>
      <c r="K18" s="443"/>
      <c r="L18" s="443"/>
      <c r="M18" s="443"/>
      <c r="N18" s="445">
        <f t="shared" si="4"/>
        <v>0</v>
      </c>
      <c r="P18" s="434"/>
      <c r="Q18" s="434"/>
    </row>
    <row r="19" spans="1:17" ht="15.75" thickBot="1">
      <c r="A19" s="444" t="s">
        <v>73</v>
      </c>
      <c r="B19" s="443"/>
      <c r="C19" s="443"/>
      <c r="D19" s="443"/>
      <c r="E19" s="443"/>
      <c r="F19" s="443"/>
      <c r="G19" s="443"/>
      <c r="H19" s="443"/>
      <c r="I19" s="443"/>
      <c r="J19" s="443"/>
      <c r="K19" s="443"/>
      <c r="L19" s="443"/>
      <c r="M19" s="443"/>
      <c r="N19" s="445">
        <f t="shared" si="4"/>
        <v>0</v>
      </c>
    </row>
    <row r="20" spans="1:17" ht="15.75" thickBot="1">
      <c r="A20" s="444" t="s">
        <v>74</v>
      </c>
      <c r="B20" s="443"/>
      <c r="C20" s="443"/>
      <c r="D20" s="443"/>
      <c r="E20" s="443"/>
      <c r="F20" s="443"/>
      <c r="G20" s="443"/>
      <c r="H20" s="443"/>
      <c r="I20" s="443"/>
      <c r="J20" s="443"/>
      <c r="K20" s="443"/>
      <c r="L20" s="443"/>
      <c r="M20" s="443"/>
      <c r="N20" s="445">
        <f t="shared" si="4"/>
        <v>0</v>
      </c>
    </row>
    <row r="21" spans="1:17" ht="15.75" thickBot="1">
      <c r="A21" s="444" t="s">
        <v>75</v>
      </c>
      <c r="B21" s="443"/>
      <c r="C21" s="443"/>
      <c r="D21" s="443"/>
      <c r="E21" s="443"/>
      <c r="F21" s="443"/>
      <c r="G21" s="443"/>
      <c r="H21" s="443"/>
      <c r="I21" s="443"/>
      <c r="J21" s="443"/>
      <c r="K21" s="443"/>
      <c r="L21" s="443"/>
      <c r="M21" s="443"/>
      <c r="N21" s="445">
        <f t="shared" si="4"/>
        <v>0</v>
      </c>
    </row>
    <row r="22" spans="1:17" ht="15.75" thickBot="1">
      <c r="A22" s="444" t="s">
        <v>76</v>
      </c>
      <c r="B22" s="443"/>
      <c r="C22" s="443"/>
      <c r="D22" s="443"/>
      <c r="E22" s="443"/>
      <c r="F22" s="443"/>
      <c r="G22" s="443"/>
      <c r="H22" s="443"/>
      <c r="I22" s="443"/>
      <c r="J22" s="443"/>
      <c r="K22" s="443"/>
      <c r="L22" s="443"/>
      <c r="M22" s="443"/>
      <c r="N22" s="445">
        <f t="shared" si="4"/>
        <v>0</v>
      </c>
    </row>
    <row r="23" spans="1:17" ht="15.75" thickBot="1">
      <c r="A23" s="444" t="s">
        <v>77</v>
      </c>
      <c r="B23" s="443"/>
      <c r="C23" s="443"/>
      <c r="D23" s="443"/>
      <c r="E23" s="443"/>
      <c r="F23" s="443"/>
      <c r="G23" s="443"/>
      <c r="H23" s="443"/>
      <c r="I23" s="443"/>
      <c r="J23" s="443"/>
      <c r="K23" s="443"/>
      <c r="L23" s="443"/>
      <c r="M23" s="443"/>
      <c r="N23" s="445">
        <f t="shared" si="4"/>
        <v>0</v>
      </c>
      <c r="O23" s="435"/>
    </row>
    <row r="24" spans="1:17" ht="15.75" thickBot="1">
      <c r="A24" s="444" t="s">
        <v>78</v>
      </c>
      <c r="B24" s="443"/>
      <c r="C24" s="443"/>
      <c r="D24" s="443"/>
      <c r="E24" s="443"/>
      <c r="F24" s="443"/>
      <c r="G24" s="443"/>
      <c r="H24" s="443"/>
      <c r="I24" s="443"/>
      <c r="J24" s="443"/>
      <c r="K24" s="443"/>
      <c r="L24" s="443"/>
      <c r="M24" s="443"/>
      <c r="N24" s="445">
        <f t="shared" si="4"/>
        <v>0</v>
      </c>
      <c r="O24" s="436"/>
      <c r="P24" s="428"/>
    </row>
    <row r="25" spans="1:17" ht="15.75" thickBot="1">
      <c r="A25" s="444" t="s">
        <v>79</v>
      </c>
      <c r="B25" s="443"/>
      <c r="C25" s="443"/>
      <c r="D25" s="443"/>
      <c r="E25" s="443"/>
      <c r="F25" s="443"/>
      <c r="G25" s="443"/>
      <c r="H25" s="443"/>
      <c r="I25" s="443"/>
      <c r="J25" s="443"/>
      <c r="K25" s="443"/>
      <c r="L25" s="443"/>
      <c r="M25" s="443"/>
      <c r="N25" s="445">
        <f t="shared" si="4"/>
        <v>0</v>
      </c>
      <c r="Q25" s="428"/>
    </row>
    <row r="26" spans="1:17" ht="15.75" thickBot="1">
      <c r="A26" s="444" t="s">
        <v>80</v>
      </c>
      <c r="B26" s="443"/>
      <c r="C26" s="443"/>
      <c r="D26" s="443"/>
      <c r="E26" s="443"/>
      <c r="F26" s="443"/>
      <c r="G26" s="443"/>
      <c r="H26" s="443"/>
      <c r="I26" s="443"/>
      <c r="J26" s="443"/>
      <c r="K26" s="443"/>
      <c r="L26" s="443"/>
      <c r="M26" s="443"/>
      <c r="N26" s="445">
        <f t="shared" si="4"/>
        <v>0</v>
      </c>
      <c r="Q26" s="428"/>
    </row>
    <row r="27" spans="1:17" ht="15.75" thickBot="1">
      <c r="A27" s="444" t="s">
        <v>81</v>
      </c>
      <c r="B27" s="443"/>
      <c r="C27" s="443"/>
      <c r="D27" s="443"/>
      <c r="E27" s="443"/>
      <c r="F27" s="443"/>
      <c r="G27" s="443"/>
      <c r="H27" s="443"/>
      <c r="I27" s="443"/>
      <c r="J27" s="443"/>
      <c r="K27" s="443"/>
      <c r="L27" s="443"/>
      <c r="M27" s="443"/>
      <c r="N27" s="445">
        <f t="shared" si="4"/>
        <v>0</v>
      </c>
      <c r="Q27" s="437"/>
    </row>
    <row r="28" spans="1:17" ht="15.75" thickBot="1">
      <c r="A28" s="444" t="s">
        <v>82</v>
      </c>
      <c r="B28" s="443"/>
      <c r="C28" s="443"/>
      <c r="D28" s="443"/>
      <c r="E28" s="443"/>
      <c r="F28" s="443"/>
      <c r="G28" s="443"/>
      <c r="H28" s="443"/>
      <c r="I28" s="443"/>
      <c r="J28" s="443"/>
      <c r="K28" s="443"/>
      <c r="L28" s="443"/>
      <c r="M28" s="443"/>
      <c r="N28" s="445">
        <f t="shared" si="4"/>
        <v>0</v>
      </c>
    </row>
    <row r="29" spans="1:17" ht="15.75" thickBot="1">
      <c r="A29" s="444" t="s">
        <v>83</v>
      </c>
      <c r="B29" s="443"/>
      <c r="C29" s="443"/>
      <c r="D29" s="443"/>
      <c r="E29" s="443"/>
      <c r="F29" s="443"/>
      <c r="G29" s="443"/>
      <c r="H29" s="443"/>
      <c r="I29" s="443"/>
      <c r="J29" s="443"/>
      <c r="K29" s="443"/>
      <c r="L29" s="443"/>
      <c r="M29" s="443"/>
      <c r="N29" s="445">
        <f t="shared" si="4"/>
        <v>0</v>
      </c>
    </row>
    <row r="30" spans="1:17" ht="15.75" thickBot="1">
      <c r="A30" s="444" t="s">
        <v>84</v>
      </c>
      <c r="B30" s="443"/>
      <c r="C30" s="443"/>
      <c r="D30" s="443"/>
      <c r="E30" s="443"/>
      <c r="F30" s="443"/>
      <c r="G30" s="443"/>
      <c r="H30" s="443"/>
      <c r="I30" s="443"/>
      <c r="J30" s="443"/>
      <c r="K30" s="443"/>
      <c r="L30" s="443"/>
      <c r="M30" s="443"/>
      <c r="N30" s="445">
        <f t="shared" si="4"/>
        <v>0</v>
      </c>
    </row>
    <row r="31" spans="1:17" ht="15.75" thickBot="1">
      <c r="A31" s="444" t="s">
        <v>85</v>
      </c>
      <c r="B31" s="443"/>
      <c r="C31" s="443"/>
      <c r="D31" s="443"/>
      <c r="E31" s="443"/>
      <c r="F31" s="443"/>
      <c r="G31" s="443"/>
      <c r="H31" s="443"/>
      <c r="I31" s="443"/>
      <c r="J31" s="443"/>
      <c r="K31" s="443"/>
      <c r="L31" s="443"/>
      <c r="M31" s="443"/>
      <c r="N31" s="445">
        <f t="shared" si="4"/>
        <v>0</v>
      </c>
    </row>
    <row r="32" spans="1:17" ht="15.75" thickBot="1">
      <c r="A32" s="444" t="s">
        <v>86</v>
      </c>
      <c r="B32" s="443"/>
      <c r="C32" s="443"/>
      <c r="D32" s="443"/>
      <c r="E32" s="443"/>
      <c r="F32" s="443"/>
      <c r="G32" s="443"/>
      <c r="H32" s="443"/>
      <c r="I32" s="443"/>
      <c r="J32" s="443"/>
      <c r="K32" s="443"/>
      <c r="L32" s="443"/>
      <c r="M32" s="443"/>
      <c r="N32" s="445">
        <f t="shared" si="4"/>
        <v>0</v>
      </c>
    </row>
    <row r="33" spans="1:28" ht="15.75" thickBot="1">
      <c r="A33" s="444" t="s">
        <v>87</v>
      </c>
      <c r="B33" s="443"/>
      <c r="C33" s="443"/>
      <c r="D33" s="443"/>
      <c r="E33" s="443"/>
      <c r="F33" s="443"/>
      <c r="G33" s="443"/>
      <c r="H33" s="443"/>
      <c r="I33" s="443"/>
      <c r="J33" s="443"/>
      <c r="K33" s="443"/>
      <c r="L33" s="443"/>
      <c r="M33" s="443"/>
      <c r="N33" s="445">
        <f t="shared" si="4"/>
        <v>0</v>
      </c>
      <c r="P33" s="428"/>
    </row>
    <row r="34" spans="1:28" ht="15.75" thickBot="1">
      <c r="A34" s="444" t="s">
        <v>88</v>
      </c>
      <c r="B34" s="443"/>
      <c r="C34" s="443"/>
      <c r="D34" s="443"/>
      <c r="E34" s="443"/>
      <c r="F34" s="443"/>
      <c r="G34" s="443"/>
      <c r="H34" s="443"/>
      <c r="I34" s="443"/>
      <c r="J34" s="443"/>
      <c r="K34" s="443"/>
      <c r="L34" s="443"/>
      <c r="M34" s="443"/>
      <c r="N34" s="445">
        <f t="shared" si="4"/>
        <v>0</v>
      </c>
    </row>
    <row r="35" spans="1:28" ht="15.75" thickBot="1">
      <c r="A35" s="444" t="s">
        <v>89</v>
      </c>
      <c r="B35" s="443"/>
      <c r="C35" s="443"/>
      <c r="D35" s="443"/>
      <c r="E35" s="443"/>
      <c r="F35" s="443"/>
      <c r="G35" s="443"/>
      <c r="H35" s="443"/>
      <c r="I35" s="443"/>
      <c r="J35" s="443"/>
      <c r="K35" s="443"/>
      <c r="L35" s="443"/>
      <c r="M35" s="443"/>
      <c r="N35" s="445">
        <f t="shared" si="4"/>
        <v>0</v>
      </c>
    </row>
    <row r="36" spans="1:28" ht="15.75" thickBot="1">
      <c r="A36" s="444" t="s">
        <v>90</v>
      </c>
      <c r="B36" s="443"/>
      <c r="C36" s="443"/>
      <c r="D36" s="443"/>
      <c r="E36" s="443"/>
      <c r="F36" s="443"/>
      <c r="G36" s="443"/>
      <c r="H36" s="443"/>
      <c r="I36" s="443"/>
      <c r="J36" s="443"/>
      <c r="K36" s="443"/>
      <c r="L36" s="443"/>
      <c r="M36" s="443"/>
      <c r="N36" s="445">
        <f t="shared" si="4"/>
        <v>0</v>
      </c>
    </row>
    <row r="37" spans="1:28" ht="15.75" thickBot="1">
      <c r="A37" s="444"/>
      <c r="B37" s="443"/>
      <c r="C37" s="443"/>
      <c r="D37" s="443"/>
      <c r="E37" s="443"/>
      <c r="F37" s="443"/>
      <c r="G37" s="443"/>
      <c r="H37" s="443"/>
      <c r="I37" s="443"/>
      <c r="J37" s="443"/>
      <c r="K37" s="443"/>
      <c r="L37" s="443"/>
      <c r="M37" s="443"/>
      <c r="N37" s="445">
        <f t="shared" si="4"/>
        <v>0</v>
      </c>
    </row>
    <row r="38" spans="1:28" ht="15.75" thickBot="1">
      <c r="A38" s="444"/>
      <c r="B38" s="443"/>
      <c r="C38" s="443"/>
      <c r="D38" s="443"/>
      <c r="E38" s="443"/>
      <c r="F38" s="443"/>
      <c r="G38" s="443"/>
      <c r="H38" s="443"/>
      <c r="I38" s="443"/>
      <c r="J38" s="443"/>
      <c r="K38" s="443"/>
      <c r="L38" s="443"/>
      <c r="M38" s="443"/>
      <c r="N38" s="445">
        <f t="shared" si="4"/>
        <v>0</v>
      </c>
      <c r="O38" s="639" t="s">
        <v>91</v>
      </c>
      <c r="P38" s="639"/>
      <c r="Q38" s="639"/>
    </row>
    <row r="39" spans="1:28" ht="15" customHeight="1" thickBot="1">
      <c r="A39" s="444" t="s">
        <v>92</v>
      </c>
      <c r="B39" s="443"/>
      <c r="C39" s="443"/>
      <c r="D39" s="443"/>
      <c r="E39" s="443"/>
      <c r="F39" s="443"/>
      <c r="G39" s="443"/>
      <c r="H39" s="443"/>
      <c r="I39" s="443"/>
      <c r="J39" s="443"/>
      <c r="K39" s="443"/>
      <c r="L39" s="443"/>
      <c r="M39" s="443"/>
      <c r="N39" s="445">
        <f t="shared" si="4"/>
        <v>0</v>
      </c>
      <c r="O39" s="639"/>
      <c r="P39" s="639"/>
      <c r="Q39" s="639"/>
      <c r="W39" s="428"/>
      <c r="X39" s="428"/>
      <c r="Y39" s="428"/>
      <c r="Z39" s="428"/>
      <c r="AA39" s="428"/>
      <c r="AB39" s="428"/>
    </row>
    <row r="40" spans="1:28" ht="15" customHeight="1" thickBot="1">
      <c r="A40" s="444" t="s">
        <v>93</v>
      </c>
      <c r="B40" s="443"/>
      <c r="C40" s="443"/>
      <c r="D40" s="443"/>
      <c r="E40" s="443"/>
      <c r="F40" s="443"/>
      <c r="G40" s="443"/>
      <c r="H40" s="443"/>
      <c r="I40" s="443"/>
      <c r="J40" s="443"/>
      <c r="K40" s="443"/>
      <c r="L40" s="443"/>
      <c r="M40" s="443"/>
      <c r="N40" s="445">
        <f t="shared" si="4"/>
        <v>0</v>
      </c>
      <c r="O40" s="639"/>
      <c r="P40" s="639"/>
      <c r="Q40" s="639"/>
      <c r="R40" s="640" t="s">
        <v>94</v>
      </c>
      <c r="S40" s="641"/>
      <c r="T40" s="641"/>
      <c r="U40" s="642"/>
      <c r="V40" s="627" t="s">
        <v>95</v>
      </c>
      <c r="W40" s="628"/>
      <c r="X40" s="628"/>
      <c r="Y40" s="629"/>
      <c r="Z40" s="428"/>
      <c r="AA40" s="428"/>
      <c r="AB40" s="428"/>
    </row>
    <row r="41" spans="1:28" ht="43.9" customHeight="1" thickBot="1">
      <c r="A41" s="634" t="s">
        <v>96</v>
      </c>
      <c r="B41" s="634"/>
      <c r="C41" s="634"/>
      <c r="D41" s="634"/>
      <c r="E41" s="634"/>
      <c r="F41" s="634"/>
      <c r="G41" s="634"/>
      <c r="H41" s="634"/>
      <c r="I41" s="634"/>
      <c r="J41" s="634"/>
      <c r="K41" s="634"/>
      <c r="L41" s="634"/>
      <c r="M41" s="634"/>
      <c r="N41" s="634"/>
      <c r="O41" s="40" t="s">
        <v>97</v>
      </c>
      <c r="P41" s="40" t="s">
        <v>98</v>
      </c>
      <c r="Q41" s="41" t="s">
        <v>99</v>
      </c>
      <c r="R41" s="42" t="s">
        <v>34</v>
      </c>
      <c r="S41" s="42" t="s">
        <v>100</v>
      </c>
      <c r="T41" s="43" t="s">
        <v>101</v>
      </c>
      <c r="U41" s="43" t="s">
        <v>102</v>
      </c>
      <c r="V41" s="44" t="s">
        <v>103</v>
      </c>
      <c r="W41" s="45" t="s">
        <v>34</v>
      </c>
      <c r="X41" s="46" t="s">
        <v>100</v>
      </c>
      <c r="Y41" s="46" t="s">
        <v>102</v>
      </c>
      <c r="Z41" s="428"/>
      <c r="AA41" s="428"/>
      <c r="AB41" s="428"/>
    </row>
    <row r="42" spans="1:28" ht="15.75" thickBot="1">
      <c r="A42" s="444" t="s">
        <v>104</v>
      </c>
      <c r="B42" s="443">
        <f t="shared" ref="B42:B55" si="5">IF(P42="Monthly",R42,IF(P42="Quarterly",S42,IF(P42="Bi-Annually",T42,IF(P42="Annually",U42))))</f>
        <v>0</v>
      </c>
      <c r="C42" s="443">
        <f t="shared" ref="C42:C55" si="6">IF(P42="Monthly",R42,IF(P42="Quarterly",0,IF(P42="Bi-Annually",0,IF(P42="Annually",0))))</f>
        <v>0</v>
      </c>
      <c r="D42" s="443">
        <f t="shared" ref="D42:D55" si="7">IF(P42="Monthly",R42,IF(P42="Quarterly",0,IF(P42="Bi-Annually",0,IF(P42="Annually",0))))</f>
        <v>0</v>
      </c>
      <c r="E42" s="443">
        <f t="shared" ref="E42:E55" si="8">IF(P42="Monthly",R42,IF(P42="Quarterly",S42,IF(P42="Bi-Annually",0,IF(P42="Annually",0))))</f>
        <v>0</v>
      </c>
      <c r="F42" s="443">
        <f t="shared" ref="F42:F55" si="9">IF(P42="Monthly",R42,IF(P42="Quarterly",0,IF(P42="Bi-Annually",0,IF(P42="Annually",0))))</f>
        <v>0</v>
      </c>
      <c r="G42" s="443">
        <f t="shared" ref="G42:G55" si="10">IF(P42="Monthly",R42,IF(P42="Quarterly",0,IF(P42="Bi-Annually",0,IF(P42="Annually",0))))</f>
        <v>0</v>
      </c>
      <c r="H42" s="443">
        <f t="shared" ref="H42:H55" si="11">IF(P42="Monthly",R42,IF(P42="Quarterly",S42,IF(P42="Bi-Annually",T42,IF(P42="Annually",0))))</f>
        <v>0</v>
      </c>
      <c r="I42" s="443">
        <f t="shared" ref="I42:I55" si="12">IF(P42="Monthly",R42,IF(P42="Quarterly",0,IF(P42="Bi-Annually",0,IF(P42="Annually",0))))</f>
        <v>0</v>
      </c>
      <c r="J42" s="443">
        <f t="shared" ref="J42:J55" si="13">IF(P42="Monthly",R42,IF(P42="Quarterly",0,IF(P42="Bi-Annually",0,IF(P42="Annually",0))))</f>
        <v>0</v>
      </c>
      <c r="K42" s="443">
        <f t="shared" ref="K42:K55" si="14">IF(P42="Monthly",R42,IF(P42="Quarterly",S42,IF(P42="Bi-Annually",0,IF(P42="Annually",0))))</f>
        <v>0</v>
      </c>
      <c r="L42" s="443">
        <f t="shared" ref="L42:L55" si="15">IF(P42="Monthly",R42,IF(P42="Quarterly",0,IF(P42="Bi-Annually",0,IF(P42="Annually",0))))</f>
        <v>0</v>
      </c>
      <c r="M42" s="443">
        <f t="shared" ref="M42:M55" si="16">IF(P42="Monthly",R42,IF(P42="Quarterly",0,IF(P42="Bi-Annually",0,IF(P42="Annually",0))))</f>
        <v>0</v>
      </c>
      <c r="N42" s="445">
        <f>SUM(B42:M42)</f>
        <v>0</v>
      </c>
      <c r="O42" s="438"/>
      <c r="P42" s="424" t="s">
        <v>34</v>
      </c>
      <c r="Q42" s="47">
        <v>1</v>
      </c>
      <c r="R42" s="48">
        <f t="shared" ref="R42:R55" si="17">IF(Q42&lt;=0,0,O42*Q42)</f>
        <v>0</v>
      </c>
      <c r="S42" s="48">
        <f t="shared" ref="S42:S55" si="18">IF(Q42&lt;=0,0,O42*Q42)</f>
        <v>0</v>
      </c>
      <c r="T42" s="48">
        <f t="shared" ref="T42:T55" si="19">IF(Q42&lt;=0,0,O42*Q42)</f>
        <v>0</v>
      </c>
      <c r="U42" s="48">
        <f t="shared" ref="U42:U55" si="20">IF(S42&lt;=0,0,O42*Q42)</f>
        <v>0</v>
      </c>
      <c r="V42" s="49">
        <f>SUM(100%-Q42)</f>
        <v>0</v>
      </c>
      <c r="W42" s="50">
        <f t="shared" ref="W42:W55" si="21">IF(V42&lt;=0,0,O42*V42)</f>
        <v>0</v>
      </c>
      <c r="X42" s="50">
        <f t="shared" ref="X42:X55" si="22">IF(W42&lt;=0,0,O42*V42)</f>
        <v>0</v>
      </c>
      <c r="Y42" s="50">
        <f t="shared" ref="Y42:Y55" si="23">IF(X42&lt;=0,0,O42*V42)</f>
        <v>0</v>
      </c>
      <c r="Z42" s="428"/>
      <c r="AA42" s="428"/>
      <c r="AB42" s="428"/>
    </row>
    <row r="43" spans="1:28" ht="15.75" thickBot="1">
      <c r="A43" s="444" t="s">
        <v>105</v>
      </c>
      <c r="B43" s="443">
        <f t="shared" si="5"/>
        <v>0</v>
      </c>
      <c r="C43" s="443">
        <f t="shared" si="6"/>
        <v>0</v>
      </c>
      <c r="D43" s="443">
        <f t="shared" si="7"/>
        <v>0</v>
      </c>
      <c r="E43" s="443">
        <f t="shared" si="8"/>
        <v>0</v>
      </c>
      <c r="F43" s="443">
        <f t="shared" si="9"/>
        <v>0</v>
      </c>
      <c r="G43" s="443">
        <f t="shared" si="10"/>
        <v>0</v>
      </c>
      <c r="H43" s="443">
        <f t="shared" si="11"/>
        <v>0</v>
      </c>
      <c r="I43" s="443">
        <f t="shared" si="12"/>
        <v>0</v>
      </c>
      <c r="J43" s="443">
        <f t="shared" si="13"/>
        <v>0</v>
      </c>
      <c r="K43" s="443">
        <f t="shared" si="14"/>
        <v>0</v>
      </c>
      <c r="L43" s="443">
        <f t="shared" si="15"/>
        <v>0</v>
      </c>
      <c r="M43" s="443">
        <f t="shared" si="16"/>
        <v>0</v>
      </c>
      <c r="N43" s="445">
        <f t="shared" ref="N43:N55" si="24">SUM(B43:M43)</f>
        <v>0</v>
      </c>
      <c r="O43" s="439"/>
      <c r="P43" s="425" t="s">
        <v>34</v>
      </c>
      <c r="Q43" s="51">
        <v>1</v>
      </c>
      <c r="R43" s="48">
        <f t="shared" si="17"/>
        <v>0</v>
      </c>
      <c r="S43" s="48">
        <f t="shared" si="18"/>
        <v>0</v>
      </c>
      <c r="T43" s="48">
        <f t="shared" si="19"/>
        <v>0</v>
      </c>
      <c r="U43" s="48">
        <f t="shared" si="20"/>
        <v>0</v>
      </c>
      <c r="V43" s="49">
        <f t="shared" ref="V43:V55" si="25">SUM(100%-Q43)</f>
        <v>0</v>
      </c>
      <c r="W43" s="50">
        <f t="shared" si="21"/>
        <v>0</v>
      </c>
      <c r="X43" s="50">
        <f t="shared" si="22"/>
        <v>0</v>
      </c>
      <c r="Y43" s="50">
        <f t="shared" si="23"/>
        <v>0</v>
      </c>
      <c r="Z43" s="428"/>
      <c r="AA43" s="428"/>
      <c r="AB43" s="428"/>
    </row>
    <row r="44" spans="1:28" ht="15.75" thickBot="1">
      <c r="A44" s="444" t="s">
        <v>106</v>
      </c>
      <c r="B44" s="443">
        <f t="shared" si="5"/>
        <v>0</v>
      </c>
      <c r="C44" s="443">
        <f t="shared" si="6"/>
        <v>0</v>
      </c>
      <c r="D44" s="443">
        <f t="shared" si="7"/>
        <v>0</v>
      </c>
      <c r="E44" s="443">
        <f t="shared" si="8"/>
        <v>0</v>
      </c>
      <c r="F44" s="443">
        <f t="shared" si="9"/>
        <v>0</v>
      </c>
      <c r="G44" s="443">
        <f t="shared" si="10"/>
        <v>0</v>
      </c>
      <c r="H44" s="443">
        <f t="shared" si="11"/>
        <v>0</v>
      </c>
      <c r="I44" s="443">
        <f t="shared" si="12"/>
        <v>0</v>
      </c>
      <c r="J44" s="443">
        <f t="shared" si="13"/>
        <v>0</v>
      </c>
      <c r="K44" s="443">
        <f t="shared" si="14"/>
        <v>0</v>
      </c>
      <c r="L44" s="443">
        <f t="shared" si="15"/>
        <v>0</v>
      </c>
      <c r="M44" s="443">
        <f t="shared" si="16"/>
        <v>0</v>
      </c>
      <c r="N44" s="445">
        <f t="shared" si="24"/>
        <v>0</v>
      </c>
      <c r="O44" s="439"/>
      <c r="P44" s="425" t="s">
        <v>34</v>
      </c>
      <c r="Q44" s="51">
        <v>1</v>
      </c>
      <c r="R44" s="48">
        <f t="shared" si="17"/>
        <v>0</v>
      </c>
      <c r="S44" s="48">
        <f t="shared" si="18"/>
        <v>0</v>
      </c>
      <c r="T44" s="48">
        <f t="shared" si="19"/>
        <v>0</v>
      </c>
      <c r="U44" s="48">
        <f t="shared" si="20"/>
        <v>0</v>
      </c>
      <c r="V44" s="49">
        <f t="shared" si="25"/>
        <v>0</v>
      </c>
      <c r="W44" s="50">
        <f t="shared" si="21"/>
        <v>0</v>
      </c>
      <c r="X44" s="50">
        <f t="shared" si="22"/>
        <v>0</v>
      </c>
      <c r="Y44" s="50">
        <f t="shared" si="23"/>
        <v>0</v>
      </c>
      <c r="Z44" s="428"/>
      <c r="AA44" s="428"/>
      <c r="AB44" s="428"/>
    </row>
    <row r="45" spans="1:28" ht="15.75" thickBot="1">
      <c r="A45" s="444" t="s">
        <v>107</v>
      </c>
      <c r="B45" s="443">
        <f t="shared" si="5"/>
        <v>0</v>
      </c>
      <c r="C45" s="443">
        <f t="shared" si="6"/>
        <v>0</v>
      </c>
      <c r="D45" s="443">
        <f t="shared" si="7"/>
        <v>0</v>
      </c>
      <c r="E45" s="443">
        <f t="shared" si="8"/>
        <v>0</v>
      </c>
      <c r="F45" s="443">
        <f t="shared" si="9"/>
        <v>0</v>
      </c>
      <c r="G45" s="443">
        <f t="shared" si="10"/>
        <v>0</v>
      </c>
      <c r="H45" s="443">
        <f t="shared" si="11"/>
        <v>0</v>
      </c>
      <c r="I45" s="443">
        <f t="shared" si="12"/>
        <v>0</v>
      </c>
      <c r="J45" s="443">
        <f t="shared" si="13"/>
        <v>0</v>
      </c>
      <c r="K45" s="443">
        <f t="shared" si="14"/>
        <v>0</v>
      </c>
      <c r="L45" s="443">
        <f t="shared" si="15"/>
        <v>0</v>
      </c>
      <c r="M45" s="443">
        <f t="shared" si="16"/>
        <v>0</v>
      </c>
      <c r="N45" s="445">
        <f t="shared" si="24"/>
        <v>0</v>
      </c>
      <c r="O45" s="439"/>
      <c r="P45" s="425" t="s">
        <v>34</v>
      </c>
      <c r="Q45" s="51">
        <v>1</v>
      </c>
      <c r="R45" s="48">
        <f t="shared" si="17"/>
        <v>0</v>
      </c>
      <c r="S45" s="48">
        <f t="shared" si="18"/>
        <v>0</v>
      </c>
      <c r="T45" s="48">
        <f t="shared" si="19"/>
        <v>0</v>
      </c>
      <c r="U45" s="48">
        <f t="shared" si="20"/>
        <v>0</v>
      </c>
      <c r="V45" s="49">
        <f t="shared" si="25"/>
        <v>0</v>
      </c>
      <c r="W45" s="50">
        <f t="shared" si="21"/>
        <v>0</v>
      </c>
      <c r="X45" s="50">
        <f t="shared" si="22"/>
        <v>0</v>
      </c>
      <c r="Y45" s="50">
        <f t="shared" si="23"/>
        <v>0</v>
      </c>
      <c r="Z45" s="428"/>
      <c r="AA45" s="428"/>
      <c r="AB45" s="428"/>
    </row>
    <row r="46" spans="1:28" ht="15.75" thickBot="1">
      <c r="A46" s="444" t="s">
        <v>108</v>
      </c>
      <c r="B46" s="443">
        <f t="shared" si="5"/>
        <v>0</v>
      </c>
      <c r="C46" s="443">
        <f t="shared" si="6"/>
        <v>0</v>
      </c>
      <c r="D46" s="443">
        <f t="shared" si="7"/>
        <v>0</v>
      </c>
      <c r="E46" s="443">
        <f t="shared" si="8"/>
        <v>0</v>
      </c>
      <c r="F46" s="443">
        <f t="shared" si="9"/>
        <v>0</v>
      </c>
      <c r="G46" s="443">
        <f t="shared" si="10"/>
        <v>0</v>
      </c>
      <c r="H46" s="443">
        <f t="shared" si="11"/>
        <v>0</v>
      </c>
      <c r="I46" s="443">
        <f t="shared" si="12"/>
        <v>0</v>
      </c>
      <c r="J46" s="443">
        <f t="shared" si="13"/>
        <v>0</v>
      </c>
      <c r="K46" s="443">
        <f t="shared" si="14"/>
        <v>0</v>
      </c>
      <c r="L46" s="443">
        <f t="shared" si="15"/>
        <v>0</v>
      </c>
      <c r="M46" s="443">
        <f t="shared" si="16"/>
        <v>0</v>
      </c>
      <c r="N46" s="445">
        <f t="shared" si="24"/>
        <v>0</v>
      </c>
      <c r="O46" s="439"/>
      <c r="P46" s="425" t="s">
        <v>34</v>
      </c>
      <c r="Q46" s="51">
        <v>1</v>
      </c>
      <c r="R46" s="48">
        <f t="shared" si="17"/>
        <v>0</v>
      </c>
      <c r="S46" s="48">
        <f t="shared" si="18"/>
        <v>0</v>
      </c>
      <c r="T46" s="48">
        <f t="shared" si="19"/>
        <v>0</v>
      </c>
      <c r="U46" s="48">
        <f t="shared" si="20"/>
        <v>0</v>
      </c>
      <c r="V46" s="49">
        <f t="shared" si="25"/>
        <v>0</v>
      </c>
      <c r="W46" s="50">
        <f t="shared" si="21"/>
        <v>0</v>
      </c>
      <c r="X46" s="50">
        <f t="shared" si="22"/>
        <v>0</v>
      </c>
      <c r="Y46" s="50">
        <f t="shared" si="23"/>
        <v>0</v>
      </c>
      <c r="Z46" s="428"/>
      <c r="AA46" s="428"/>
      <c r="AB46" s="428"/>
    </row>
    <row r="47" spans="1:28" ht="15.75" thickBot="1">
      <c r="A47" s="444" t="s">
        <v>109</v>
      </c>
      <c r="B47" s="443">
        <f t="shared" si="5"/>
        <v>0</v>
      </c>
      <c r="C47" s="443">
        <f t="shared" si="6"/>
        <v>0</v>
      </c>
      <c r="D47" s="443">
        <f t="shared" si="7"/>
        <v>0</v>
      </c>
      <c r="E47" s="443">
        <f t="shared" si="8"/>
        <v>0</v>
      </c>
      <c r="F47" s="443">
        <f t="shared" si="9"/>
        <v>0</v>
      </c>
      <c r="G47" s="443">
        <f t="shared" si="10"/>
        <v>0</v>
      </c>
      <c r="H47" s="443">
        <f t="shared" si="11"/>
        <v>0</v>
      </c>
      <c r="I47" s="443">
        <f t="shared" si="12"/>
        <v>0</v>
      </c>
      <c r="J47" s="443">
        <f t="shared" si="13"/>
        <v>0</v>
      </c>
      <c r="K47" s="443">
        <f t="shared" si="14"/>
        <v>0</v>
      </c>
      <c r="L47" s="443">
        <f t="shared" si="15"/>
        <v>0</v>
      </c>
      <c r="M47" s="443">
        <f t="shared" si="16"/>
        <v>0</v>
      </c>
      <c r="N47" s="445">
        <f t="shared" si="24"/>
        <v>0</v>
      </c>
      <c r="O47" s="439"/>
      <c r="P47" s="425" t="s">
        <v>34</v>
      </c>
      <c r="Q47" s="51">
        <v>1</v>
      </c>
      <c r="R47" s="48">
        <f t="shared" si="17"/>
        <v>0</v>
      </c>
      <c r="S47" s="48">
        <f t="shared" si="18"/>
        <v>0</v>
      </c>
      <c r="T47" s="48">
        <f t="shared" si="19"/>
        <v>0</v>
      </c>
      <c r="U47" s="48">
        <f t="shared" si="20"/>
        <v>0</v>
      </c>
      <c r="V47" s="49">
        <f t="shared" si="25"/>
        <v>0</v>
      </c>
      <c r="W47" s="50">
        <f t="shared" si="21"/>
        <v>0</v>
      </c>
      <c r="X47" s="50">
        <f t="shared" si="22"/>
        <v>0</v>
      </c>
      <c r="Y47" s="50">
        <f t="shared" si="23"/>
        <v>0</v>
      </c>
      <c r="Z47" s="428"/>
      <c r="AA47" s="428"/>
      <c r="AB47" s="428"/>
    </row>
    <row r="48" spans="1:28" ht="15.75" thickBot="1">
      <c r="A48" s="444" t="s">
        <v>110</v>
      </c>
      <c r="B48" s="443">
        <f t="shared" si="5"/>
        <v>0</v>
      </c>
      <c r="C48" s="443">
        <f t="shared" si="6"/>
        <v>0</v>
      </c>
      <c r="D48" s="443">
        <f t="shared" si="7"/>
        <v>0</v>
      </c>
      <c r="E48" s="443">
        <f t="shared" si="8"/>
        <v>0</v>
      </c>
      <c r="F48" s="443">
        <f t="shared" si="9"/>
        <v>0</v>
      </c>
      <c r="G48" s="443">
        <f t="shared" si="10"/>
        <v>0</v>
      </c>
      <c r="H48" s="443">
        <f t="shared" si="11"/>
        <v>0</v>
      </c>
      <c r="I48" s="443">
        <f t="shared" si="12"/>
        <v>0</v>
      </c>
      <c r="J48" s="443">
        <f t="shared" si="13"/>
        <v>0</v>
      </c>
      <c r="K48" s="443">
        <f t="shared" si="14"/>
        <v>0</v>
      </c>
      <c r="L48" s="443">
        <f t="shared" si="15"/>
        <v>0</v>
      </c>
      <c r="M48" s="443">
        <f t="shared" si="16"/>
        <v>0</v>
      </c>
      <c r="N48" s="445">
        <f t="shared" si="24"/>
        <v>0</v>
      </c>
      <c r="O48" s="439"/>
      <c r="P48" s="425" t="s">
        <v>34</v>
      </c>
      <c r="Q48" s="51">
        <v>1</v>
      </c>
      <c r="R48" s="48">
        <f t="shared" si="17"/>
        <v>0</v>
      </c>
      <c r="S48" s="48">
        <f t="shared" si="18"/>
        <v>0</v>
      </c>
      <c r="T48" s="48">
        <f t="shared" si="19"/>
        <v>0</v>
      </c>
      <c r="U48" s="48">
        <f t="shared" si="20"/>
        <v>0</v>
      </c>
      <c r="V48" s="49">
        <f t="shared" si="25"/>
        <v>0</v>
      </c>
      <c r="W48" s="50">
        <f t="shared" si="21"/>
        <v>0</v>
      </c>
      <c r="X48" s="50">
        <f t="shared" si="22"/>
        <v>0</v>
      </c>
      <c r="Y48" s="50">
        <f t="shared" si="23"/>
        <v>0</v>
      </c>
      <c r="Z48" s="428"/>
      <c r="AA48" s="428"/>
      <c r="AB48" s="428"/>
    </row>
    <row r="49" spans="1:28" ht="15.75" thickBot="1">
      <c r="A49" s="444" t="s">
        <v>111</v>
      </c>
      <c r="B49" s="443">
        <f t="shared" si="5"/>
        <v>0</v>
      </c>
      <c r="C49" s="443">
        <f t="shared" si="6"/>
        <v>0</v>
      </c>
      <c r="D49" s="443">
        <f t="shared" si="7"/>
        <v>0</v>
      </c>
      <c r="E49" s="443">
        <f t="shared" si="8"/>
        <v>0</v>
      </c>
      <c r="F49" s="443">
        <f t="shared" si="9"/>
        <v>0</v>
      </c>
      <c r="G49" s="443">
        <f t="shared" si="10"/>
        <v>0</v>
      </c>
      <c r="H49" s="443">
        <f t="shared" si="11"/>
        <v>0</v>
      </c>
      <c r="I49" s="443">
        <f t="shared" si="12"/>
        <v>0</v>
      </c>
      <c r="J49" s="443">
        <f t="shared" si="13"/>
        <v>0</v>
      </c>
      <c r="K49" s="443">
        <f t="shared" si="14"/>
        <v>0</v>
      </c>
      <c r="L49" s="443">
        <f t="shared" si="15"/>
        <v>0</v>
      </c>
      <c r="M49" s="443">
        <f t="shared" si="16"/>
        <v>0</v>
      </c>
      <c r="N49" s="445">
        <f t="shared" si="24"/>
        <v>0</v>
      </c>
      <c r="O49" s="439"/>
      <c r="P49" s="425" t="s">
        <v>34</v>
      </c>
      <c r="Q49" s="51">
        <v>1</v>
      </c>
      <c r="R49" s="48">
        <f t="shared" si="17"/>
        <v>0</v>
      </c>
      <c r="S49" s="48">
        <f t="shared" si="18"/>
        <v>0</v>
      </c>
      <c r="T49" s="48">
        <f t="shared" si="19"/>
        <v>0</v>
      </c>
      <c r="U49" s="48">
        <f t="shared" si="20"/>
        <v>0</v>
      </c>
      <c r="V49" s="49">
        <f t="shared" si="25"/>
        <v>0</v>
      </c>
      <c r="W49" s="50">
        <f t="shared" si="21"/>
        <v>0</v>
      </c>
      <c r="X49" s="50">
        <f t="shared" si="22"/>
        <v>0</v>
      </c>
      <c r="Y49" s="50">
        <f t="shared" si="23"/>
        <v>0</v>
      </c>
      <c r="Z49" s="428"/>
      <c r="AA49" s="428"/>
      <c r="AB49" s="428"/>
    </row>
    <row r="50" spans="1:28" ht="15.75" thickBot="1">
      <c r="A50" s="444" t="s">
        <v>112</v>
      </c>
      <c r="B50" s="443">
        <f t="shared" si="5"/>
        <v>0</v>
      </c>
      <c r="C50" s="443">
        <f t="shared" si="6"/>
        <v>0</v>
      </c>
      <c r="D50" s="443">
        <f t="shared" si="7"/>
        <v>0</v>
      </c>
      <c r="E50" s="443">
        <f t="shared" si="8"/>
        <v>0</v>
      </c>
      <c r="F50" s="443">
        <f t="shared" si="9"/>
        <v>0</v>
      </c>
      <c r="G50" s="443">
        <f t="shared" si="10"/>
        <v>0</v>
      </c>
      <c r="H50" s="443">
        <f t="shared" si="11"/>
        <v>0</v>
      </c>
      <c r="I50" s="443">
        <f t="shared" si="12"/>
        <v>0</v>
      </c>
      <c r="J50" s="443">
        <f t="shared" si="13"/>
        <v>0</v>
      </c>
      <c r="K50" s="443">
        <f t="shared" si="14"/>
        <v>0</v>
      </c>
      <c r="L50" s="443">
        <f t="shared" si="15"/>
        <v>0</v>
      </c>
      <c r="M50" s="443">
        <f t="shared" si="16"/>
        <v>0</v>
      </c>
      <c r="N50" s="445">
        <f t="shared" si="24"/>
        <v>0</v>
      </c>
      <c r="O50" s="439"/>
      <c r="P50" s="425" t="s">
        <v>34</v>
      </c>
      <c r="Q50" s="51">
        <v>1</v>
      </c>
      <c r="R50" s="48">
        <f t="shared" si="17"/>
        <v>0</v>
      </c>
      <c r="S50" s="48">
        <f t="shared" si="18"/>
        <v>0</v>
      </c>
      <c r="T50" s="48">
        <f t="shared" si="19"/>
        <v>0</v>
      </c>
      <c r="U50" s="48">
        <f t="shared" si="20"/>
        <v>0</v>
      </c>
      <c r="V50" s="49">
        <f t="shared" si="25"/>
        <v>0</v>
      </c>
      <c r="W50" s="50">
        <f t="shared" si="21"/>
        <v>0</v>
      </c>
      <c r="X50" s="50">
        <f t="shared" si="22"/>
        <v>0</v>
      </c>
      <c r="Y50" s="50">
        <f t="shared" si="23"/>
        <v>0</v>
      </c>
      <c r="Z50" s="428"/>
      <c r="AA50" s="428"/>
      <c r="AB50" s="428"/>
    </row>
    <row r="51" spans="1:28" ht="15.75" thickBot="1">
      <c r="A51" s="444" t="s">
        <v>113</v>
      </c>
      <c r="B51" s="443">
        <f t="shared" si="5"/>
        <v>0</v>
      </c>
      <c r="C51" s="443">
        <f t="shared" si="6"/>
        <v>0</v>
      </c>
      <c r="D51" s="443">
        <f t="shared" si="7"/>
        <v>0</v>
      </c>
      <c r="E51" s="443">
        <f t="shared" si="8"/>
        <v>0</v>
      </c>
      <c r="F51" s="443">
        <f t="shared" si="9"/>
        <v>0</v>
      </c>
      <c r="G51" s="443">
        <f t="shared" si="10"/>
        <v>0</v>
      </c>
      <c r="H51" s="443">
        <f t="shared" si="11"/>
        <v>0</v>
      </c>
      <c r="I51" s="443">
        <f t="shared" si="12"/>
        <v>0</v>
      </c>
      <c r="J51" s="443">
        <f t="shared" si="13"/>
        <v>0</v>
      </c>
      <c r="K51" s="443">
        <f t="shared" si="14"/>
        <v>0</v>
      </c>
      <c r="L51" s="443">
        <f t="shared" si="15"/>
        <v>0</v>
      </c>
      <c r="M51" s="443">
        <f t="shared" si="16"/>
        <v>0</v>
      </c>
      <c r="N51" s="445">
        <f t="shared" si="24"/>
        <v>0</v>
      </c>
      <c r="O51" s="439"/>
      <c r="P51" s="425" t="s">
        <v>34</v>
      </c>
      <c r="Q51" s="51">
        <v>1</v>
      </c>
      <c r="R51" s="48">
        <f t="shared" si="17"/>
        <v>0</v>
      </c>
      <c r="S51" s="48">
        <f t="shared" si="18"/>
        <v>0</v>
      </c>
      <c r="T51" s="48">
        <f t="shared" si="19"/>
        <v>0</v>
      </c>
      <c r="U51" s="48">
        <f t="shared" si="20"/>
        <v>0</v>
      </c>
      <c r="V51" s="49">
        <f t="shared" si="25"/>
        <v>0</v>
      </c>
      <c r="W51" s="50">
        <f t="shared" si="21"/>
        <v>0</v>
      </c>
      <c r="X51" s="50">
        <f t="shared" si="22"/>
        <v>0</v>
      </c>
      <c r="Y51" s="50">
        <f t="shared" si="23"/>
        <v>0</v>
      </c>
      <c r="Z51" s="428"/>
      <c r="AA51" s="428"/>
      <c r="AB51" s="428"/>
    </row>
    <row r="52" spans="1:28" ht="15.75" thickBot="1">
      <c r="A52" s="444" t="s">
        <v>114</v>
      </c>
      <c r="B52" s="443">
        <f t="shared" si="5"/>
        <v>0</v>
      </c>
      <c r="C52" s="443">
        <f t="shared" si="6"/>
        <v>0</v>
      </c>
      <c r="D52" s="443">
        <f t="shared" si="7"/>
        <v>0</v>
      </c>
      <c r="E52" s="443">
        <f t="shared" si="8"/>
        <v>0</v>
      </c>
      <c r="F52" s="443">
        <f t="shared" si="9"/>
        <v>0</v>
      </c>
      <c r="G52" s="443">
        <f t="shared" si="10"/>
        <v>0</v>
      </c>
      <c r="H52" s="443">
        <f t="shared" si="11"/>
        <v>0</v>
      </c>
      <c r="I52" s="443">
        <f t="shared" si="12"/>
        <v>0</v>
      </c>
      <c r="J52" s="443">
        <f t="shared" si="13"/>
        <v>0</v>
      </c>
      <c r="K52" s="443">
        <f t="shared" si="14"/>
        <v>0</v>
      </c>
      <c r="L52" s="443">
        <f t="shared" si="15"/>
        <v>0</v>
      </c>
      <c r="M52" s="443">
        <f t="shared" si="16"/>
        <v>0</v>
      </c>
      <c r="N52" s="445">
        <f t="shared" si="24"/>
        <v>0</v>
      </c>
      <c r="O52" s="439"/>
      <c r="P52" s="425" t="s">
        <v>34</v>
      </c>
      <c r="Q52" s="51">
        <v>1</v>
      </c>
      <c r="R52" s="48">
        <f t="shared" si="17"/>
        <v>0</v>
      </c>
      <c r="S52" s="48">
        <f t="shared" si="18"/>
        <v>0</v>
      </c>
      <c r="T52" s="48">
        <f t="shared" si="19"/>
        <v>0</v>
      </c>
      <c r="U52" s="48">
        <f t="shared" si="20"/>
        <v>0</v>
      </c>
      <c r="V52" s="49">
        <f t="shared" si="25"/>
        <v>0</v>
      </c>
      <c r="W52" s="50">
        <f t="shared" si="21"/>
        <v>0</v>
      </c>
      <c r="X52" s="50">
        <f t="shared" si="22"/>
        <v>0</v>
      </c>
      <c r="Y52" s="50">
        <f t="shared" si="23"/>
        <v>0</v>
      </c>
      <c r="Z52" s="428"/>
      <c r="AA52" s="428"/>
      <c r="AB52" s="428"/>
    </row>
    <row r="53" spans="1:28" ht="15.75" thickBot="1">
      <c r="A53" s="444"/>
      <c r="B53" s="443">
        <f t="shared" si="5"/>
        <v>0</v>
      </c>
      <c r="C53" s="443">
        <f t="shared" si="6"/>
        <v>0</v>
      </c>
      <c r="D53" s="443">
        <f t="shared" si="7"/>
        <v>0</v>
      </c>
      <c r="E53" s="443">
        <f t="shared" si="8"/>
        <v>0</v>
      </c>
      <c r="F53" s="443">
        <f t="shared" si="9"/>
        <v>0</v>
      </c>
      <c r="G53" s="443">
        <f t="shared" si="10"/>
        <v>0</v>
      </c>
      <c r="H53" s="443">
        <f t="shared" si="11"/>
        <v>0</v>
      </c>
      <c r="I53" s="443">
        <f t="shared" si="12"/>
        <v>0</v>
      </c>
      <c r="J53" s="443">
        <f t="shared" si="13"/>
        <v>0</v>
      </c>
      <c r="K53" s="443">
        <f t="shared" si="14"/>
        <v>0</v>
      </c>
      <c r="L53" s="443">
        <f t="shared" si="15"/>
        <v>0</v>
      </c>
      <c r="M53" s="443">
        <f t="shared" si="16"/>
        <v>0</v>
      </c>
      <c r="N53" s="445">
        <f t="shared" si="24"/>
        <v>0</v>
      </c>
      <c r="O53" s="439"/>
      <c r="P53" s="425" t="s">
        <v>34</v>
      </c>
      <c r="Q53" s="51">
        <v>1</v>
      </c>
      <c r="R53" s="48">
        <f t="shared" si="17"/>
        <v>0</v>
      </c>
      <c r="S53" s="48">
        <f t="shared" si="18"/>
        <v>0</v>
      </c>
      <c r="T53" s="48">
        <f t="shared" si="19"/>
        <v>0</v>
      </c>
      <c r="U53" s="48">
        <f t="shared" si="20"/>
        <v>0</v>
      </c>
      <c r="V53" s="49">
        <f t="shared" si="25"/>
        <v>0</v>
      </c>
      <c r="W53" s="50">
        <f t="shared" si="21"/>
        <v>0</v>
      </c>
      <c r="X53" s="50">
        <f t="shared" si="22"/>
        <v>0</v>
      </c>
      <c r="Y53" s="50">
        <f t="shared" si="23"/>
        <v>0</v>
      </c>
      <c r="Z53" s="428"/>
      <c r="AA53" s="428"/>
      <c r="AB53" s="428"/>
    </row>
    <row r="54" spans="1:28" ht="15.75" thickBot="1">
      <c r="A54" s="444"/>
      <c r="B54" s="443">
        <f t="shared" si="5"/>
        <v>0</v>
      </c>
      <c r="C54" s="443">
        <f t="shared" si="6"/>
        <v>0</v>
      </c>
      <c r="D54" s="443">
        <f t="shared" si="7"/>
        <v>0</v>
      </c>
      <c r="E54" s="443">
        <f t="shared" si="8"/>
        <v>0</v>
      </c>
      <c r="F54" s="443">
        <f t="shared" si="9"/>
        <v>0</v>
      </c>
      <c r="G54" s="443">
        <f t="shared" si="10"/>
        <v>0</v>
      </c>
      <c r="H54" s="443">
        <f t="shared" si="11"/>
        <v>0</v>
      </c>
      <c r="I54" s="443">
        <f t="shared" si="12"/>
        <v>0</v>
      </c>
      <c r="J54" s="443">
        <f t="shared" si="13"/>
        <v>0</v>
      </c>
      <c r="K54" s="443">
        <f t="shared" si="14"/>
        <v>0</v>
      </c>
      <c r="L54" s="443">
        <f t="shared" si="15"/>
        <v>0</v>
      </c>
      <c r="M54" s="443">
        <f t="shared" si="16"/>
        <v>0</v>
      </c>
      <c r="N54" s="445">
        <f t="shared" si="24"/>
        <v>0</v>
      </c>
      <c r="O54" s="439"/>
      <c r="P54" s="425" t="s">
        <v>34</v>
      </c>
      <c r="Q54" s="51">
        <v>1</v>
      </c>
      <c r="R54" s="48">
        <f t="shared" si="17"/>
        <v>0</v>
      </c>
      <c r="S54" s="48">
        <f t="shared" si="18"/>
        <v>0</v>
      </c>
      <c r="T54" s="48">
        <f t="shared" si="19"/>
        <v>0</v>
      </c>
      <c r="U54" s="48">
        <f t="shared" si="20"/>
        <v>0</v>
      </c>
      <c r="V54" s="49">
        <f t="shared" si="25"/>
        <v>0</v>
      </c>
      <c r="W54" s="50">
        <f t="shared" si="21"/>
        <v>0</v>
      </c>
      <c r="X54" s="50">
        <f t="shared" si="22"/>
        <v>0</v>
      </c>
      <c r="Y54" s="50">
        <f t="shared" si="23"/>
        <v>0</v>
      </c>
      <c r="Z54" s="428"/>
      <c r="AA54" s="428"/>
      <c r="AB54" s="428"/>
    </row>
    <row r="55" spans="1:28" ht="15.75" thickBot="1">
      <c r="A55" s="444"/>
      <c r="B55" s="443">
        <f t="shared" si="5"/>
        <v>0</v>
      </c>
      <c r="C55" s="443">
        <f t="shared" si="6"/>
        <v>0</v>
      </c>
      <c r="D55" s="443">
        <f t="shared" si="7"/>
        <v>0</v>
      </c>
      <c r="E55" s="443">
        <f t="shared" si="8"/>
        <v>0</v>
      </c>
      <c r="F55" s="443">
        <f t="shared" si="9"/>
        <v>0</v>
      </c>
      <c r="G55" s="443">
        <f t="shared" si="10"/>
        <v>0</v>
      </c>
      <c r="H55" s="443">
        <f t="shared" si="11"/>
        <v>0</v>
      </c>
      <c r="I55" s="443">
        <f t="shared" si="12"/>
        <v>0</v>
      </c>
      <c r="J55" s="443">
        <f t="shared" si="13"/>
        <v>0</v>
      </c>
      <c r="K55" s="443">
        <f t="shared" si="14"/>
        <v>0</v>
      </c>
      <c r="L55" s="443">
        <f t="shared" si="15"/>
        <v>0</v>
      </c>
      <c r="M55" s="443">
        <f t="shared" si="16"/>
        <v>0</v>
      </c>
      <c r="N55" s="445">
        <f t="shared" si="24"/>
        <v>0</v>
      </c>
      <c r="O55" s="440"/>
      <c r="P55" s="426" t="s">
        <v>34</v>
      </c>
      <c r="Q55" s="52">
        <v>1</v>
      </c>
      <c r="R55" s="48">
        <f t="shared" si="17"/>
        <v>0</v>
      </c>
      <c r="S55" s="48">
        <f t="shared" si="18"/>
        <v>0</v>
      </c>
      <c r="T55" s="48">
        <f t="shared" si="19"/>
        <v>0</v>
      </c>
      <c r="U55" s="48">
        <f t="shared" si="20"/>
        <v>0</v>
      </c>
      <c r="V55" s="49">
        <f t="shared" si="25"/>
        <v>0</v>
      </c>
      <c r="W55" s="50">
        <f t="shared" si="21"/>
        <v>0</v>
      </c>
      <c r="X55" s="50">
        <f t="shared" si="22"/>
        <v>0</v>
      </c>
      <c r="Y55" s="50">
        <f t="shared" si="23"/>
        <v>0</v>
      </c>
      <c r="Z55" s="428"/>
      <c r="AA55" s="428"/>
      <c r="AB55" s="428"/>
    </row>
    <row r="56" spans="1:28" ht="15.75" thickBot="1">
      <c r="A56" s="442" t="s">
        <v>115</v>
      </c>
      <c r="B56" s="445">
        <f t="shared" ref="B56:N56" si="26">SUM(B16:B55)</f>
        <v>0</v>
      </c>
      <c r="C56" s="445">
        <f t="shared" si="26"/>
        <v>0</v>
      </c>
      <c r="D56" s="445">
        <f t="shared" si="26"/>
        <v>0</v>
      </c>
      <c r="E56" s="445">
        <f t="shared" si="26"/>
        <v>0</v>
      </c>
      <c r="F56" s="445">
        <f t="shared" si="26"/>
        <v>0</v>
      </c>
      <c r="G56" s="445">
        <f t="shared" si="26"/>
        <v>0</v>
      </c>
      <c r="H56" s="445">
        <f t="shared" si="26"/>
        <v>0</v>
      </c>
      <c r="I56" s="445">
        <f t="shared" si="26"/>
        <v>0</v>
      </c>
      <c r="J56" s="445">
        <f t="shared" si="26"/>
        <v>0</v>
      </c>
      <c r="K56" s="445">
        <f t="shared" si="26"/>
        <v>0</v>
      </c>
      <c r="L56" s="445">
        <f t="shared" si="26"/>
        <v>0</v>
      </c>
      <c r="M56" s="445">
        <f t="shared" si="26"/>
        <v>0</v>
      </c>
      <c r="N56" s="445">
        <f t="shared" si="26"/>
        <v>0</v>
      </c>
      <c r="O56" s="436"/>
      <c r="P56" s="436"/>
    </row>
    <row r="57" spans="1:28" ht="15.75" thickBot="1">
      <c r="A57" s="430"/>
      <c r="B57" s="430"/>
      <c r="C57" s="430"/>
      <c r="D57" s="430"/>
      <c r="E57" s="430"/>
      <c r="F57" s="430"/>
      <c r="G57" s="430"/>
      <c r="H57" s="430"/>
      <c r="I57" s="430"/>
      <c r="J57" s="430"/>
      <c r="K57" s="430"/>
      <c r="L57" s="430"/>
      <c r="M57" s="430"/>
      <c r="N57" s="430"/>
    </row>
    <row r="58" spans="1:28" ht="13.5" thickBot="1">
      <c r="A58" s="442" t="s">
        <v>116</v>
      </c>
      <c r="B58" s="445">
        <f t="shared" ref="B58:N58" si="27">(B5+B14-B56)</f>
        <v>0</v>
      </c>
      <c r="C58" s="445">
        <f t="shared" si="27"/>
        <v>0</v>
      </c>
      <c r="D58" s="445">
        <f t="shared" si="27"/>
        <v>0</v>
      </c>
      <c r="E58" s="445">
        <f t="shared" si="27"/>
        <v>0</v>
      </c>
      <c r="F58" s="445">
        <f t="shared" si="27"/>
        <v>0</v>
      </c>
      <c r="G58" s="445">
        <f t="shared" si="27"/>
        <v>0</v>
      </c>
      <c r="H58" s="445">
        <f t="shared" si="27"/>
        <v>0</v>
      </c>
      <c r="I58" s="445">
        <f t="shared" si="27"/>
        <v>0</v>
      </c>
      <c r="J58" s="445">
        <f t="shared" si="27"/>
        <v>0</v>
      </c>
      <c r="K58" s="445">
        <f t="shared" si="27"/>
        <v>0</v>
      </c>
      <c r="L58" s="445">
        <f t="shared" si="27"/>
        <v>0</v>
      </c>
      <c r="M58" s="445">
        <f t="shared" si="27"/>
        <v>0</v>
      </c>
      <c r="N58" s="445">
        <f t="shared" si="27"/>
        <v>0</v>
      </c>
      <c r="O58" s="441" t="str">
        <f>IF(OR(B58&lt;0,C58&lt;0,D58&lt;0,E58&lt;0,F58&lt;0,G58&lt;0,H58&lt;0,I58&lt;0,J58&lt;0,K58&lt;0,L58&lt;0,M58&lt;0,N58&lt;0),"Negative balances to be addressed"," ")</f>
        <v xml:space="preserve"> </v>
      </c>
    </row>
  </sheetData>
  <mergeCells count="9">
    <mergeCell ref="V40:Y40"/>
    <mergeCell ref="B6:N6"/>
    <mergeCell ref="B8:N8"/>
    <mergeCell ref="A41:N41"/>
    <mergeCell ref="B1:N1"/>
    <mergeCell ref="A2:N2"/>
    <mergeCell ref="B3:G3"/>
    <mergeCell ref="O38:Q40"/>
    <mergeCell ref="R40:U40"/>
  </mergeCells>
  <conditionalFormatting sqref="B58:N58">
    <cfRule type="cellIs" dxfId="12" priority="1" operator="lessThan">
      <formula>0</formula>
    </cfRule>
  </conditionalFormatting>
  <dataValidations count="4">
    <dataValidation allowBlank="1" showInputMessage="1" showErrorMessage="1" prompt="If the start month for intermittent payments needs to be adjusted, ask your trainer for assistance." sqref="B42:M55" xr:uid="{DEB61A35-87D4-4F37-B768-08BCDF432A8F}"/>
    <dataValidation type="list" allowBlank="1" showInputMessage="1" showErrorMessage="1" sqref="P42:P55" xr:uid="{9C6A3196-A263-479E-9F33-C774C37D53EF}">
      <formula1>$R$41:$U$41</formula1>
    </dataValidation>
    <dataValidation allowBlank="1" showInputMessage="1" showErrorMessage="1" promptTitle="Enter after-tax amount" prompt="Enter the take-home amount: after PAYG tax." sqref="B9:M10" xr:uid="{59B97429-C5EF-4118-8A0A-4C69FF25F44E}"/>
    <dataValidation type="whole" allowBlank="1" showInputMessage="1" showErrorMessage="1" error="Amounts must be in whole dollars" sqref="B5 B12:M13 B19:M19 B15:M17 B21:M40" xr:uid="{63B720B2-E2EB-4B7A-AE65-91BD2760F60C}">
      <formula1>1</formula1>
      <formula2>999999</formula2>
    </dataValidation>
  </dataValidations>
  <pageMargins left="0.23622047244094491" right="0.23622047244094491" top="0.74803149606299213" bottom="0.74803149606299213" header="0.31496062992125984" footer="0.31496062992125984"/>
  <pageSetup paperSize="9" scale="35" orientation="portrait" r:id="rId1"/>
  <headerFooter>
    <oddHeader>&amp;L&amp;A&amp;CSelf-Employment Assistance</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B19F-3D63-467A-9B3F-C7EF2870CD3F}">
  <sheetPr codeName="Sheet19">
    <tabColor theme="0" tint="-0.499984740745262"/>
    <pageSetUpPr fitToPage="1"/>
  </sheetPr>
  <dimension ref="A1:X39"/>
  <sheetViews>
    <sheetView zoomScale="85" zoomScaleNormal="85" workbookViewId="0">
      <selection activeCell="P15" sqref="P15"/>
    </sheetView>
  </sheetViews>
  <sheetFormatPr defaultColWidth="8.7109375" defaultRowHeight="12.75"/>
  <cols>
    <col min="1" max="1" width="45.7109375" style="35" bestFit="1" customWidth="1"/>
    <col min="2" max="2" width="26.42578125" style="35" bestFit="1" customWidth="1"/>
    <col min="3" max="3" width="9.7109375" style="35" customWidth="1"/>
    <col min="4" max="4" width="10.85546875" style="35" bestFit="1" customWidth="1"/>
    <col min="5" max="5" width="23.28515625" style="35" bestFit="1" customWidth="1"/>
    <col min="6" max="6" width="5.28515625" style="35" customWidth="1"/>
    <col min="7" max="7" width="12.7109375" style="35" bestFit="1" customWidth="1"/>
    <col min="8" max="8" width="10" style="35" bestFit="1" customWidth="1"/>
    <col min="9" max="9" width="12.7109375" style="35" bestFit="1" customWidth="1"/>
    <col min="10" max="10" width="8.7109375" style="35"/>
    <col min="11" max="12" width="10" style="35" bestFit="1" customWidth="1"/>
    <col min="13" max="15" width="8.7109375" style="35"/>
    <col min="16" max="16" width="10.5703125" style="35" customWidth="1"/>
    <col min="17" max="21" width="8.7109375" style="35"/>
    <col min="22" max="22" width="10.42578125" style="35" customWidth="1"/>
    <col min="23" max="23" width="8.7109375" style="35" customWidth="1"/>
    <col min="24" max="24" width="9.28515625" style="35" hidden="1" customWidth="1"/>
    <col min="25" max="16384" width="8.7109375" style="35"/>
  </cols>
  <sheetData>
    <row r="1" spans="1:24" ht="28.15" customHeight="1" thickBot="1">
      <c r="A1" s="421" t="s">
        <v>57</v>
      </c>
      <c r="B1" s="635" t="str">
        <f>'Set Up Details'!C2</f>
        <v>Test1</v>
      </c>
      <c r="C1" s="636"/>
      <c r="D1" s="636"/>
      <c r="E1" s="636"/>
      <c r="F1" s="636"/>
      <c r="G1" s="636"/>
      <c r="H1" s="636"/>
      <c r="I1" s="636"/>
      <c r="J1" s="636"/>
      <c r="K1" s="636"/>
      <c r="L1" s="637"/>
    </row>
    <row r="2" spans="1:24" ht="28.15" customHeight="1">
      <c r="A2" s="54"/>
      <c r="B2" s="55"/>
      <c r="C2" s="55"/>
      <c r="D2" s="55"/>
      <c r="E2" s="55"/>
      <c r="F2" s="55"/>
      <c r="G2" s="55"/>
      <c r="H2" s="55"/>
      <c r="I2" s="55"/>
      <c r="J2" s="55"/>
      <c r="K2" s="55"/>
    </row>
    <row r="3" spans="1:24" ht="28.15" customHeight="1" thickBot="1">
      <c r="A3" s="587" t="s">
        <v>117</v>
      </c>
      <c r="B3" s="587"/>
      <c r="C3" s="587"/>
      <c r="D3" s="587"/>
      <c r="E3" s="587"/>
      <c r="F3" s="587"/>
      <c r="G3" s="587"/>
      <c r="H3" s="587"/>
      <c r="I3" s="587"/>
      <c r="J3" s="587"/>
      <c r="M3" s="587" t="s">
        <v>118</v>
      </c>
      <c r="N3" s="587"/>
      <c r="O3" s="587"/>
      <c r="P3" s="587"/>
      <c r="Q3" s="587"/>
      <c r="R3" s="587"/>
    </row>
    <row r="4" spans="1:24" ht="39.6" customHeight="1" thickBot="1">
      <c r="A4" s="445" t="s">
        <v>119</v>
      </c>
      <c r="B4" s="445" t="s">
        <v>120</v>
      </c>
      <c r="C4" s="645" t="s">
        <v>121</v>
      </c>
      <c r="D4" s="645"/>
      <c r="E4" s="445" t="s">
        <v>122</v>
      </c>
      <c r="F4" s="56"/>
      <c r="G4" s="445" t="s">
        <v>123</v>
      </c>
      <c r="H4" s="445" t="s">
        <v>124</v>
      </c>
      <c r="I4" s="445" t="s">
        <v>125</v>
      </c>
      <c r="J4" s="445" t="s">
        <v>126</v>
      </c>
      <c r="M4" s="645" t="s">
        <v>127</v>
      </c>
      <c r="N4" s="645"/>
      <c r="O4" s="645"/>
      <c r="P4" s="645"/>
      <c r="Q4" s="645"/>
      <c r="R4" s="645"/>
    </row>
    <row r="5" spans="1:24" ht="15.75" thickBot="1">
      <c r="A5" s="444" t="s">
        <v>128</v>
      </c>
      <c r="B5" s="478"/>
      <c r="C5" s="534">
        <v>1</v>
      </c>
      <c r="D5" s="534"/>
      <c r="E5" s="445">
        <f t="shared" ref="E5:E12" si="0">SUM(B5*C5)</f>
        <v>0</v>
      </c>
      <c r="F5" s="57"/>
      <c r="G5" s="482"/>
      <c r="H5" s="483">
        <f t="shared" ref="H5:H12" si="1">IF(ISERROR(1/G5),0,1/G5)</f>
        <v>0</v>
      </c>
      <c r="I5" s="58">
        <f t="shared" ref="I5:I12" si="2">(E5*H5)</f>
        <v>0</v>
      </c>
      <c r="J5" s="59">
        <f t="shared" ref="J5:J12" si="3">IF(H5&lt;=100%,(E5*H5),0)</f>
        <v>0</v>
      </c>
      <c r="M5" s="588" t="s">
        <v>129</v>
      </c>
      <c r="N5" s="588"/>
      <c r="O5" s="588"/>
      <c r="P5" s="588"/>
      <c r="Q5" s="583"/>
      <c r="R5" s="583"/>
    </row>
    <row r="6" spans="1:24" ht="15.75" thickBot="1">
      <c r="A6" s="444" t="s">
        <v>130</v>
      </c>
      <c r="B6" s="478"/>
      <c r="C6" s="534">
        <v>1</v>
      </c>
      <c r="D6" s="534"/>
      <c r="E6" s="445">
        <f t="shared" si="0"/>
        <v>0</v>
      </c>
      <c r="F6" s="57"/>
      <c r="G6" s="482"/>
      <c r="H6" s="483">
        <f t="shared" si="1"/>
        <v>0</v>
      </c>
      <c r="I6" s="60">
        <f t="shared" si="2"/>
        <v>0</v>
      </c>
      <c r="J6" s="59">
        <f t="shared" si="3"/>
        <v>0</v>
      </c>
      <c r="M6" s="588"/>
      <c r="N6" s="588"/>
      <c r="O6" s="588"/>
      <c r="P6" s="588"/>
      <c r="Q6" s="583"/>
      <c r="R6" s="583"/>
    </row>
    <row r="7" spans="1:24" ht="15.75" thickBot="1">
      <c r="A7" s="444" t="s">
        <v>131</v>
      </c>
      <c r="B7" s="478"/>
      <c r="C7" s="534">
        <v>1</v>
      </c>
      <c r="D7" s="534"/>
      <c r="E7" s="445">
        <f t="shared" si="0"/>
        <v>0</v>
      </c>
      <c r="F7" s="57"/>
      <c r="G7" s="482"/>
      <c r="H7" s="483">
        <f t="shared" si="1"/>
        <v>0</v>
      </c>
      <c r="I7" s="60">
        <f t="shared" si="2"/>
        <v>0</v>
      </c>
      <c r="J7" s="59">
        <f t="shared" si="3"/>
        <v>0</v>
      </c>
      <c r="M7" s="660" t="s">
        <v>132</v>
      </c>
      <c r="N7" s="660"/>
      <c r="O7" s="660"/>
      <c r="P7" s="660"/>
      <c r="Q7" s="583"/>
      <c r="R7" s="583"/>
      <c r="S7" s="588" t="s">
        <v>133</v>
      </c>
      <c r="T7" s="588"/>
      <c r="U7" s="588"/>
      <c r="V7" s="661">
        <f>ROUND(SUM(Q7/V9+V8),0)</f>
        <v>0</v>
      </c>
      <c r="W7" s="662"/>
    </row>
    <row r="8" spans="1:24" ht="15.75" thickBot="1">
      <c r="A8" s="444" t="s">
        <v>134</v>
      </c>
      <c r="B8" s="478"/>
      <c r="C8" s="534">
        <v>1</v>
      </c>
      <c r="D8" s="534"/>
      <c r="E8" s="445">
        <f t="shared" si="0"/>
        <v>0</v>
      </c>
      <c r="F8" s="57"/>
      <c r="G8" s="482"/>
      <c r="H8" s="483">
        <f t="shared" si="1"/>
        <v>0</v>
      </c>
      <c r="I8" s="60">
        <f t="shared" si="2"/>
        <v>0</v>
      </c>
      <c r="J8" s="59">
        <f t="shared" si="3"/>
        <v>0</v>
      </c>
      <c r="M8" s="660"/>
      <c r="N8" s="660"/>
      <c r="O8" s="660"/>
      <c r="P8" s="660"/>
      <c r="Q8" s="583"/>
      <c r="R8" s="583"/>
      <c r="S8" s="588" t="s">
        <v>135</v>
      </c>
      <c r="T8" s="588"/>
      <c r="U8" s="588"/>
      <c r="V8" s="650"/>
      <c r="W8" s="650"/>
    </row>
    <row r="9" spans="1:24" ht="15.75" thickBot="1">
      <c r="A9" s="444" t="s">
        <v>136</v>
      </c>
      <c r="B9" s="478"/>
      <c r="C9" s="534">
        <v>1</v>
      </c>
      <c r="D9" s="534"/>
      <c r="E9" s="445">
        <f t="shared" si="0"/>
        <v>0</v>
      </c>
      <c r="F9" s="57"/>
      <c r="G9" s="482"/>
      <c r="H9" s="483">
        <f t="shared" si="1"/>
        <v>0</v>
      </c>
      <c r="I9" s="60">
        <f t="shared" si="2"/>
        <v>0</v>
      </c>
      <c r="J9" s="59">
        <f t="shared" si="3"/>
        <v>0</v>
      </c>
      <c r="S9" s="588" t="s">
        <v>137</v>
      </c>
      <c r="T9" s="588"/>
      <c r="U9" s="588"/>
      <c r="V9" s="583">
        <v>1</v>
      </c>
      <c r="W9" s="583"/>
      <c r="X9" s="61">
        <f>V9</f>
        <v>1</v>
      </c>
    </row>
    <row r="10" spans="1:24" ht="15.75" thickBot="1">
      <c r="A10" s="444"/>
      <c r="B10" s="478"/>
      <c r="C10" s="534">
        <v>1</v>
      </c>
      <c r="D10" s="534"/>
      <c r="E10" s="445">
        <f t="shared" si="0"/>
        <v>0</v>
      </c>
      <c r="F10" s="57"/>
      <c r="G10" s="482"/>
      <c r="H10" s="483">
        <f t="shared" si="1"/>
        <v>0</v>
      </c>
      <c r="I10" s="60">
        <f t="shared" si="2"/>
        <v>0</v>
      </c>
      <c r="J10" s="59">
        <f t="shared" si="3"/>
        <v>0</v>
      </c>
      <c r="S10" s="588" t="s">
        <v>138</v>
      </c>
      <c r="T10" s="588"/>
      <c r="U10" s="588"/>
      <c r="V10" s="650">
        <f>ROUND(IF(V9&gt;=12,(12*V8),IF(OR(V9&lt;12),(X9*V8),0)),0)</f>
        <v>0</v>
      </c>
      <c r="W10" s="650"/>
      <c r="X10" s="61">
        <f>V9-X11</f>
        <v>12</v>
      </c>
    </row>
    <row r="11" spans="1:24" ht="15.75" thickBot="1">
      <c r="A11" s="444"/>
      <c r="B11" s="478"/>
      <c r="C11" s="534">
        <v>1</v>
      </c>
      <c r="D11" s="534"/>
      <c r="E11" s="445">
        <f t="shared" si="0"/>
        <v>0</v>
      </c>
      <c r="F11" s="57"/>
      <c r="G11" s="482"/>
      <c r="H11" s="483">
        <f t="shared" si="1"/>
        <v>0</v>
      </c>
      <c r="I11" s="60">
        <f t="shared" si="2"/>
        <v>0</v>
      </c>
      <c r="J11" s="59">
        <f t="shared" si="3"/>
        <v>0</v>
      </c>
      <c r="S11" s="588" t="s">
        <v>139</v>
      </c>
      <c r="T11" s="588"/>
      <c r="U11" s="588"/>
      <c r="V11" s="650">
        <f>ROUND(IF(X11&lt;=0,(V8*0),IF(X11&gt;12,(V8*12),IF(X11&lt;12,V8*X11))),0)</f>
        <v>0</v>
      </c>
      <c r="W11" s="650"/>
      <c r="X11" s="61">
        <f>SUM(V9-12)</f>
        <v>-11</v>
      </c>
    </row>
    <row r="12" spans="1:24" ht="15.75" thickBot="1">
      <c r="A12" s="444"/>
      <c r="B12" s="478"/>
      <c r="C12" s="654">
        <v>1</v>
      </c>
      <c r="D12" s="655"/>
      <c r="E12" s="445">
        <f t="shared" si="0"/>
        <v>0</v>
      </c>
      <c r="F12" s="62"/>
      <c r="G12" s="482"/>
      <c r="H12" s="484">
        <f t="shared" si="1"/>
        <v>0</v>
      </c>
      <c r="I12" s="63">
        <f t="shared" si="2"/>
        <v>0</v>
      </c>
      <c r="J12" s="59">
        <f t="shared" si="3"/>
        <v>0</v>
      </c>
      <c r="S12" s="444"/>
      <c r="T12" s="444"/>
      <c r="U12" s="444"/>
    </row>
    <row r="13" spans="1:24" ht="20.65" customHeight="1" thickBot="1">
      <c r="A13" s="656"/>
      <c r="B13" s="656"/>
      <c r="C13" s="657"/>
      <c r="D13" s="64"/>
      <c r="E13" s="445">
        <f>SUM(E5:E12)</f>
        <v>0</v>
      </c>
      <c r="G13" s="658"/>
      <c r="H13" s="659"/>
      <c r="I13" s="66">
        <f>SUM(I5:I12)</f>
        <v>0</v>
      </c>
      <c r="J13" s="66">
        <f>SUM(J5:J12)</f>
        <v>0</v>
      </c>
    </row>
    <row r="14" spans="1:24" ht="20.65" customHeight="1">
      <c r="A14" s="64"/>
      <c r="B14" s="64"/>
      <c r="C14" s="64"/>
      <c r="D14" s="64"/>
      <c r="E14" s="67"/>
      <c r="G14" s="65"/>
      <c r="H14" s="65"/>
      <c r="I14" s="68"/>
      <c r="J14" s="68"/>
    </row>
    <row r="15" spans="1:24" ht="28.15" customHeight="1" thickBot="1">
      <c r="A15" s="587" t="s">
        <v>457</v>
      </c>
      <c r="B15" s="587"/>
      <c r="C15" s="587"/>
      <c r="D15" s="587"/>
      <c r="E15" s="587"/>
      <c r="F15" s="587"/>
    </row>
    <row r="16" spans="1:24" ht="33.6" customHeight="1" thickBot="1">
      <c r="A16" s="445" t="s">
        <v>119</v>
      </c>
      <c r="B16" s="645" t="s">
        <v>120</v>
      </c>
      <c r="C16" s="645"/>
      <c r="D16" s="645"/>
      <c r="E16" s="645"/>
      <c r="F16" s="647"/>
    </row>
    <row r="17" spans="1:24" ht="15">
      <c r="A17" s="444" t="s">
        <v>140</v>
      </c>
      <c r="B17" s="650"/>
      <c r="C17" s="650"/>
      <c r="D17" s="650"/>
      <c r="E17" s="650"/>
      <c r="F17" s="648"/>
    </row>
    <row r="18" spans="1:24" ht="15">
      <c r="A18" s="444" t="s">
        <v>141</v>
      </c>
      <c r="B18" s="650"/>
      <c r="C18" s="650"/>
      <c r="D18" s="650"/>
      <c r="E18" s="650"/>
      <c r="F18" s="648"/>
    </row>
    <row r="19" spans="1:24" ht="14.65" customHeight="1" thickBot="1">
      <c r="A19" s="444" t="s">
        <v>142</v>
      </c>
      <c r="B19" s="650"/>
      <c r="C19" s="650"/>
      <c r="D19" s="650"/>
      <c r="E19" s="650"/>
      <c r="F19" s="648"/>
      <c r="S19" s="36"/>
    </row>
    <row r="20" spans="1:24" ht="13.5" thickBot="1">
      <c r="A20" s="69" t="s">
        <v>60</v>
      </c>
      <c r="B20" s="651">
        <f>SUM(B17:E19)</f>
        <v>0</v>
      </c>
      <c r="C20" s="652"/>
      <c r="D20" s="652"/>
      <c r="E20" s="653"/>
      <c r="F20" s="649"/>
    </row>
    <row r="21" spans="1:24" ht="20.65" customHeight="1" thickBot="1">
      <c r="A21" s="70"/>
      <c r="B21" s="71"/>
      <c r="C21" s="72"/>
      <c r="D21" s="72"/>
      <c r="E21" s="73"/>
      <c r="F21" s="646"/>
      <c r="G21" s="646"/>
      <c r="H21" s="74"/>
      <c r="W21" s="36"/>
    </row>
    <row r="22" spans="1:24" ht="24.75" customHeight="1" thickBot="1">
      <c r="A22" s="526" t="s">
        <v>458</v>
      </c>
      <c r="B22" s="526"/>
      <c r="C22" s="526"/>
      <c r="D22" s="526"/>
      <c r="E22" s="526"/>
      <c r="F22" s="526"/>
      <c r="G22" s="526"/>
      <c r="H22" s="526"/>
      <c r="I22" s="526"/>
      <c r="J22" s="526"/>
      <c r="K22" s="645" t="s">
        <v>143</v>
      </c>
      <c r="L22" s="645" t="s">
        <v>144</v>
      </c>
      <c r="X22" s="53"/>
    </row>
    <row r="23" spans="1:24" ht="21.75" customHeight="1" thickBot="1">
      <c r="A23" s="645" t="s">
        <v>145</v>
      </c>
      <c r="B23" s="645" t="s">
        <v>146</v>
      </c>
      <c r="C23" s="645"/>
      <c r="D23" s="645"/>
      <c r="E23" s="445"/>
      <c r="F23" s="445"/>
      <c r="G23" s="645" t="s">
        <v>147</v>
      </c>
      <c r="H23" s="645"/>
      <c r="I23" s="645" t="s">
        <v>123</v>
      </c>
      <c r="J23" s="645" t="s">
        <v>124</v>
      </c>
      <c r="K23" s="645"/>
      <c r="L23" s="645"/>
      <c r="X23" s="75"/>
    </row>
    <row r="24" spans="1:24" ht="43.5" customHeight="1" thickBot="1">
      <c r="A24" s="645"/>
      <c r="B24" s="445" t="s">
        <v>148</v>
      </c>
      <c r="C24" s="445" t="s">
        <v>149</v>
      </c>
      <c r="D24" s="445" t="s">
        <v>150</v>
      </c>
      <c r="E24" s="445" t="s">
        <v>151</v>
      </c>
      <c r="F24" s="445"/>
      <c r="G24" s="445" t="s">
        <v>143</v>
      </c>
      <c r="H24" s="445" t="s">
        <v>144</v>
      </c>
      <c r="I24" s="645"/>
      <c r="J24" s="645"/>
      <c r="K24" s="445"/>
      <c r="L24" s="445"/>
      <c r="X24" s="75"/>
    </row>
    <row r="25" spans="1:24" ht="15">
      <c r="A25" s="443"/>
      <c r="B25" s="478"/>
      <c r="C25" s="76"/>
      <c r="D25" s="76">
        <f>SUM(B25:C25)</f>
        <v>0</v>
      </c>
      <c r="E25" s="485"/>
      <c r="F25" s="77">
        <f>MONTH(E25)-MONTH(E23)+12*(YEAR(E25)-YEAR(E23))</f>
        <v>0</v>
      </c>
      <c r="G25" s="78">
        <f>MIN(365,MAX(0,$E$23+365-$E25))</f>
        <v>365</v>
      </c>
      <c r="H25" s="79">
        <v>365</v>
      </c>
      <c r="I25" s="443"/>
      <c r="J25" s="80">
        <f t="shared" ref="J25:J26" si="4">IF(ISERROR(1/I25),0,1/I25)</f>
        <v>0</v>
      </c>
      <c r="K25" s="81">
        <f>IF(I25&gt;1,(($B25*$J25)/365*$G25),B25)</f>
        <v>0</v>
      </c>
      <c r="L25" s="82">
        <f>IF(K25&lt;B25,B25*J25/365*H25,0)</f>
        <v>0</v>
      </c>
      <c r="T25" s="83"/>
      <c r="U25" s="83"/>
      <c r="V25" s="83"/>
      <c r="X25" s="75"/>
    </row>
    <row r="26" spans="1:24" ht="15">
      <c r="A26" s="443"/>
      <c r="B26" s="478"/>
      <c r="C26" s="76">
        <f t="shared" ref="C26:C29" si="5">B26*0.1</f>
        <v>0</v>
      </c>
      <c r="D26" s="76">
        <f t="shared" ref="D26:D29" si="6">SUM(B26:C26)</f>
        <v>0</v>
      </c>
      <c r="E26" s="485"/>
      <c r="F26" s="77">
        <f>MONTH(E26)-MONTH(E23)+12*(YEAR(E26)-YEAR(E23))</f>
        <v>0</v>
      </c>
      <c r="G26" s="84">
        <f>MIN(365,MAX(0,$E$23+365-$E26))</f>
        <v>365</v>
      </c>
      <c r="H26" s="85">
        <v>365</v>
      </c>
      <c r="I26" s="443"/>
      <c r="J26" s="80">
        <f t="shared" si="4"/>
        <v>0</v>
      </c>
      <c r="K26" s="86">
        <f>IF(I26&gt;1,(($B26*$J26)/365*$G26),B26)</f>
        <v>0</v>
      </c>
      <c r="L26" s="87">
        <f>IF(K26&lt;B26,B26*J26/365*H26,0)</f>
        <v>0</v>
      </c>
      <c r="T26" s="83"/>
      <c r="U26" s="83"/>
      <c r="V26" s="83"/>
      <c r="X26" s="53"/>
    </row>
    <row r="27" spans="1:24" ht="13.15" customHeight="1">
      <c r="A27" s="443"/>
      <c r="B27" s="478"/>
      <c r="C27" s="76">
        <f t="shared" si="5"/>
        <v>0</v>
      </c>
      <c r="D27" s="76">
        <f t="shared" si="6"/>
        <v>0</v>
      </c>
      <c r="E27" s="485"/>
      <c r="F27" s="77">
        <f>MONTH(E27)-MONTH(E23)+12*(YEAR(E27)-YEAR(E23))</f>
        <v>0</v>
      </c>
      <c r="G27" s="84">
        <f>MIN(365,MAX(0,$E$23+365-$E27))</f>
        <v>365</v>
      </c>
      <c r="H27" s="85">
        <v>365</v>
      </c>
      <c r="I27" s="443"/>
      <c r="J27" s="80">
        <f>IF(ISERROR(1/I27),0,1/I27)</f>
        <v>0</v>
      </c>
      <c r="K27" s="86">
        <f>IF(I27&gt;1,(($B27*$J27)/365*$G27),B27)</f>
        <v>0</v>
      </c>
      <c r="L27" s="87">
        <f>IF(K27&lt;B27,B27*J27/365*H27,0)</f>
        <v>0</v>
      </c>
      <c r="R27" s="83"/>
      <c r="S27" s="83"/>
      <c r="T27" s="83"/>
      <c r="U27" s="83"/>
      <c r="V27" s="83"/>
    </row>
    <row r="28" spans="1:24" ht="13.15" customHeight="1">
      <c r="A28" s="443"/>
      <c r="B28" s="478"/>
      <c r="C28" s="76">
        <f t="shared" si="5"/>
        <v>0</v>
      </c>
      <c r="D28" s="76">
        <f t="shared" si="6"/>
        <v>0</v>
      </c>
      <c r="E28" s="485"/>
      <c r="F28" s="77">
        <f>MONTH(E28)-MONTH(E23)+12*(YEAR(E28)-YEAR(E23))</f>
        <v>0</v>
      </c>
      <c r="G28" s="84">
        <f>MIN(365,MAX(0,$E$23+365-$E28))</f>
        <v>365</v>
      </c>
      <c r="H28" s="85">
        <v>365</v>
      </c>
      <c r="I28" s="443"/>
      <c r="J28" s="80">
        <f>IF(ISERROR(1/I28),0,1/I28)</f>
        <v>0</v>
      </c>
      <c r="K28" s="86">
        <f>IF(I28&gt;1,(($B28*$J28)/365*$G28),B28)</f>
        <v>0</v>
      </c>
      <c r="L28" s="87">
        <f>IF(K28&lt;B28,B28*J28/365*H28,0)</f>
        <v>0</v>
      </c>
      <c r="N28" s="88"/>
      <c r="T28" s="83"/>
      <c r="U28" s="83"/>
      <c r="V28" s="83"/>
    </row>
    <row r="29" spans="1:24" ht="15" customHeight="1" thickBot="1">
      <c r="A29" s="443"/>
      <c r="B29" s="478"/>
      <c r="C29" s="76">
        <f t="shared" si="5"/>
        <v>0</v>
      </c>
      <c r="D29" s="76">
        <f t="shared" si="6"/>
        <v>0</v>
      </c>
      <c r="E29" s="485"/>
      <c r="F29" s="89">
        <f>MONTH(E29)-MONTH(E23)+12*(YEAR(E29)-YEAR(E23))</f>
        <v>0</v>
      </c>
      <c r="G29" s="90">
        <f>MIN(365,MAX(0,$E$23+365-$E29))</f>
        <v>365</v>
      </c>
      <c r="H29" s="91">
        <v>365</v>
      </c>
      <c r="I29" s="443"/>
      <c r="J29" s="92">
        <f>IF(ISERROR(1/I29),0,1/I29)</f>
        <v>0</v>
      </c>
      <c r="K29" s="86">
        <f>IF(I29&gt;1,(($B29*$J29)/365*$G29),B29)</f>
        <v>0</v>
      </c>
      <c r="L29" s="93">
        <f>IF(K29&lt;B29,B29*J29/365*H29,0)</f>
        <v>0</v>
      </c>
    </row>
    <row r="30" spans="1:24" ht="15.75" thickBot="1">
      <c r="A30" s="94" t="s">
        <v>152</v>
      </c>
      <c r="B30" s="445">
        <f>SUM(B25:B29)</f>
        <v>0</v>
      </c>
      <c r="C30" s="445">
        <f>SUM(C25:C29)</f>
        <v>0</v>
      </c>
      <c r="D30" s="445">
        <f>SUM(D25:D29)</f>
        <v>0</v>
      </c>
      <c r="E30" s="95"/>
      <c r="F30" s="83"/>
      <c r="G30" s="643"/>
      <c r="H30" s="643"/>
      <c r="I30" s="643"/>
      <c r="J30" s="643"/>
      <c r="K30" s="96">
        <f>SUM(K25:K29)</f>
        <v>0</v>
      </c>
      <c r="L30" s="97">
        <f>SUM(L25:L29)</f>
        <v>0</v>
      </c>
    </row>
    <row r="31" spans="1:24" ht="13.5" thickBot="1"/>
    <row r="32" spans="1:24" ht="13.5" thickBot="1">
      <c r="A32" s="644" t="s">
        <v>153</v>
      </c>
      <c r="B32" s="520">
        <f>SUM(E13+B20)</f>
        <v>0</v>
      </c>
      <c r="C32" s="520"/>
      <c r="D32" s="520"/>
      <c r="E32" s="520"/>
      <c r="G32" s="645" t="s">
        <v>154</v>
      </c>
      <c r="H32" s="645"/>
      <c r="I32" s="645"/>
      <c r="J32" s="645"/>
      <c r="K32" s="98" t="s">
        <v>155</v>
      </c>
      <c r="L32" s="98" t="s">
        <v>156</v>
      </c>
    </row>
    <row r="33" spans="1:22" ht="21.75" customHeight="1" thickBot="1">
      <c r="A33" s="644"/>
      <c r="B33" s="520"/>
      <c r="C33" s="520"/>
      <c r="D33" s="520"/>
      <c r="E33" s="520"/>
      <c r="F33" s="486"/>
      <c r="G33" s="645"/>
      <c r="H33" s="645"/>
      <c r="I33" s="645"/>
      <c r="J33" s="645"/>
      <c r="K33" s="99">
        <f>SUM(I13+K30)</f>
        <v>0</v>
      </c>
      <c r="L33" s="99">
        <f>SUM(J13+L30)</f>
        <v>0</v>
      </c>
      <c r="T33" s="100"/>
      <c r="U33" s="83"/>
      <c r="V33" s="101"/>
    </row>
    <row r="34" spans="1:22" ht="14.25">
      <c r="T34" s="100"/>
      <c r="U34" s="83"/>
      <c r="V34" s="83"/>
    </row>
    <row r="35" spans="1:22" ht="15">
      <c r="A35" s="102"/>
      <c r="B35" s="95"/>
      <c r="C35" s="95"/>
      <c r="D35" s="95"/>
      <c r="E35" s="95"/>
      <c r="F35" s="95"/>
      <c r="G35" s="83"/>
      <c r="H35" s="83"/>
      <c r="I35" s="83"/>
      <c r="J35" s="83"/>
      <c r="K35" s="83"/>
      <c r="L35" s="83"/>
      <c r="M35" s="103"/>
    </row>
    <row r="38" spans="1:22" ht="13.9" customHeight="1"/>
    <row r="39" spans="1:22" ht="19.149999999999999" customHeight="1"/>
  </sheetData>
  <mergeCells count="49">
    <mergeCell ref="C5:D5"/>
    <mergeCell ref="M5:P6"/>
    <mergeCell ref="Q5:R6"/>
    <mergeCell ref="C6:D6"/>
    <mergeCell ref="B1:L1"/>
    <mergeCell ref="A3:J3"/>
    <mergeCell ref="M3:R3"/>
    <mergeCell ref="C4:D4"/>
    <mergeCell ref="M4:R4"/>
    <mergeCell ref="C7:D7"/>
    <mergeCell ref="M7:P8"/>
    <mergeCell ref="Q7:R8"/>
    <mergeCell ref="S7:U7"/>
    <mergeCell ref="V7:W7"/>
    <mergeCell ref="C8:D8"/>
    <mergeCell ref="S8:U8"/>
    <mergeCell ref="V8:W8"/>
    <mergeCell ref="C9:D9"/>
    <mergeCell ref="S9:U9"/>
    <mergeCell ref="V9:W9"/>
    <mergeCell ref="C10:D10"/>
    <mergeCell ref="S10:U10"/>
    <mergeCell ref="V10:W10"/>
    <mergeCell ref="C11:D11"/>
    <mergeCell ref="S11:U11"/>
    <mergeCell ref="V11:W11"/>
    <mergeCell ref="C12:D12"/>
    <mergeCell ref="A13:C13"/>
    <mergeCell ref="G13:H13"/>
    <mergeCell ref="A15:F15"/>
    <mergeCell ref="B16:E16"/>
    <mergeCell ref="F16:F20"/>
    <mergeCell ref="B17:E17"/>
    <mergeCell ref="B18:E18"/>
    <mergeCell ref="B19:E19"/>
    <mergeCell ref="B20:E20"/>
    <mergeCell ref="K22:K23"/>
    <mergeCell ref="L22:L23"/>
    <mergeCell ref="A23:A24"/>
    <mergeCell ref="B23:D23"/>
    <mergeCell ref="G23:H23"/>
    <mergeCell ref="I23:I24"/>
    <mergeCell ref="J23:J24"/>
    <mergeCell ref="G30:J30"/>
    <mergeCell ref="A32:A33"/>
    <mergeCell ref="B32:E33"/>
    <mergeCell ref="G32:J33"/>
    <mergeCell ref="F21:G21"/>
    <mergeCell ref="A22:J22"/>
  </mergeCells>
  <dataValidations disablePrompts="1" count="1">
    <dataValidation allowBlank="1" showInputMessage="1" showErrorMessage="1" prompt="Months Remaining must retain a value of at least 1" sqref="V9:W9" xr:uid="{EDFA711E-B5D6-47F5-9523-2B6590AC1920}"/>
  </dataValidations>
  <pageMargins left="0.23622047244094491" right="0.23622047244094491" top="0.74803149606299213" bottom="0.74803149606299213" header="0.31496062992125984" footer="0.31496062992125984"/>
  <pageSetup scale="57" orientation="landscape" horizontalDpi="1200" verticalDpi="1200" r:id="rId1"/>
  <headerFooter>
    <oddHeader>&amp;L&amp;A&amp;CSelf-Employment Assistance</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EB04-3D6F-4191-996F-B138EF0258EA}">
  <sheetPr codeName="Sheet7">
    <tabColor theme="0" tint="-0.499984740745262"/>
    <pageSetUpPr fitToPage="1"/>
  </sheetPr>
  <dimension ref="A1:N90"/>
  <sheetViews>
    <sheetView zoomScale="85" zoomScaleNormal="85" workbookViewId="0">
      <selection activeCell="M11" sqref="M11"/>
    </sheetView>
  </sheetViews>
  <sheetFormatPr defaultColWidth="11.42578125" defaultRowHeight="14.25"/>
  <cols>
    <col min="1" max="1" width="30.7109375" style="104" customWidth="1"/>
    <col min="2" max="2" width="16.5703125" style="104" customWidth="1"/>
    <col min="3" max="3" width="4.5703125" style="104" customWidth="1"/>
    <col min="4" max="4" width="22.42578125" style="104" customWidth="1"/>
    <col min="5" max="5" width="11.42578125" style="104"/>
    <col min="6" max="6" width="4.7109375" style="104" customWidth="1"/>
    <col min="7" max="7" width="31" style="104" customWidth="1"/>
    <col min="8" max="8" width="11.42578125" style="104"/>
    <col min="9" max="9" width="6.28515625" style="104" hidden="1" customWidth="1"/>
    <col min="10" max="10" width="11.42578125" style="104" hidden="1" customWidth="1"/>
    <col min="11" max="16384" width="11.42578125" style="104"/>
  </cols>
  <sheetData>
    <row r="1" spans="1:14" ht="20.25">
      <c r="A1" s="421" t="s">
        <v>57</v>
      </c>
      <c r="B1" s="583" t="str">
        <f>'Set Up Details'!C2</f>
        <v>Test1</v>
      </c>
      <c r="C1" s="583"/>
      <c r="D1" s="583"/>
      <c r="E1" s="583"/>
      <c r="F1" s="583"/>
      <c r="G1" s="583"/>
      <c r="H1" s="583"/>
    </row>
    <row r="2" spans="1:14" ht="20.25">
      <c r="A2" s="105"/>
      <c r="B2" s="106"/>
      <c r="C2" s="106"/>
      <c r="D2" s="106"/>
      <c r="E2" s="106"/>
      <c r="F2" s="106"/>
      <c r="G2" s="106"/>
      <c r="H2" s="106"/>
    </row>
    <row r="3" spans="1:14" ht="15" customHeight="1">
      <c r="A3" s="107"/>
      <c r="B3" s="107"/>
      <c r="C3" s="107"/>
      <c r="D3" s="107"/>
      <c r="E3" s="107"/>
      <c r="F3" s="107"/>
      <c r="G3" s="107"/>
      <c r="H3" s="107"/>
      <c r="I3" s="108"/>
      <c r="J3" s="108"/>
      <c r="K3" s="108"/>
      <c r="L3" s="108"/>
      <c r="M3" s="108"/>
      <c r="N3" s="108"/>
    </row>
    <row r="4" spans="1:14" ht="25.9" customHeight="1">
      <c r="A4" s="526" t="s">
        <v>157</v>
      </c>
      <c r="B4" s="526"/>
      <c r="C4" s="526"/>
      <c r="D4" s="526"/>
      <c r="E4" s="526"/>
      <c r="F4" s="526"/>
      <c r="G4" s="526"/>
      <c r="H4" s="526"/>
      <c r="I4" s="108"/>
      <c r="J4" s="108"/>
      <c r="K4" s="108"/>
      <c r="L4" s="108"/>
      <c r="M4" s="108"/>
      <c r="N4" s="108"/>
    </row>
    <row r="5" spans="1:14" ht="18" customHeight="1">
      <c r="A5" s="444" t="s">
        <v>158</v>
      </c>
      <c r="B5" s="583"/>
      <c r="C5" s="583"/>
      <c r="D5" s="583"/>
    </row>
    <row r="6" spans="1:14" ht="18" customHeight="1">
      <c r="A6" s="444" t="s">
        <v>159</v>
      </c>
      <c r="B6" s="443"/>
      <c r="C6" s="665"/>
      <c r="D6" s="665"/>
    </row>
    <row r="7" spans="1:14" ht="18" customHeight="1">
      <c r="A7" s="444" t="s">
        <v>160</v>
      </c>
      <c r="B7" s="443"/>
      <c r="C7" s="665"/>
      <c r="D7" s="665"/>
      <c r="G7" s="110"/>
    </row>
    <row r="8" spans="1:14" ht="18" customHeight="1">
      <c r="A8" s="444" t="s">
        <v>161</v>
      </c>
      <c r="B8" s="443"/>
      <c r="C8" s="112"/>
      <c r="D8" s="112"/>
    </row>
    <row r="9" spans="1:14" ht="18" customHeight="1">
      <c r="A9" s="444" t="s">
        <v>162</v>
      </c>
      <c r="B9" s="443"/>
      <c r="C9" s="112"/>
      <c r="D9" s="112"/>
    </row>
    <row r="10" spans="1:14" ht="18" customHeight="1">
      <c r="A10" s="444" t="s">
        <v>163</v>
      </c>
      <c r="B10" s="443"/>
      <c r="C10" s="112"/>
      <c r="D10" s="112"/>
    </row>
    <row r="11" spans="1:14" ht="18" customHeight="1" thickBot="1">
      <c r="A11" s="444" t="s">
        <v>164</v>
      </c>
      <c r="B11" s="443"/>
      <c r="C11" s="112"/>
      <c r="D11" s="112"/>
    </row>
    <row r="12" spans="1:14" ht="18" customHeight="1" thickBot="1">
      <c r="A12" s="203" t="s">
        <v>165</v>
      </c>
      <c r="B12" s="445">
        <f>SUM(B8:B11)</f>
        <v>0</v>
      </c>
      <c r="C12" s="112"/>
      <c r="D12" s="112"/>
    </row>
    <row r="13" spans="1:14" ht="18" customHeight="1" thickBot="1">
      <c r="A13" s="444" t="s">
        <v>166</v>
      </c>
      <c r="B13" s="481">
        <v>0.03</v>
      </c>
      <c r="C13" s="115"/>
      <c r="D13" s="444" t="s">
        <v>167</v>
      </c>
      <c r="E13" s="445">
        <f>ROUND(SUM(E14-B12),0)</f>
        <v>0</v>
      </c>
      <c r="F13" s="118"/>
      <c r="G13" s="444" t="s">
        <v>168</v>
      </c>
      <c r="H13" s="478">
        <v>0</v>
      </c>
    </row>
    <row r="14" spans="1:14" ht="18" customHeight="1" thickBot="1">
      <c r="A14" s="444" t="s">
        <v>169</v>
      </c>
      <c r="B14" s="443">
        <v>2</v>
      </c>
      <c r="C14" s="122"/>
      <c r="D14" s="444" t="s">
        <v>170</v>
      </c>
      <c r="E14" s="445">
        <f>ROUND(SUM(H14*B15*B14),0)</f>
        <v>0</v>
      </c>
      <c r="F14" s="125"/>
      <c r="G14" s="444" t="s">
        <v>171</v>
      </c>
      <c r="H14" s="478">
        <f>ROUND(PMT(B13/B15,B16,-B12),0)</f>
        <v>0</v>
      </c>
    </row>
    <row r="15" spans="1:14" ht="18" customHeight="1" thickBot="1">
      <c r="A15" s="444" t="s">
        <v>172</v>
      </c>
      <c r="B15" s="128">
        <v>12</v>
      </c>
      <c r="C15" s="122"/>
      <c r="D15" s="444" t="s">
        <v>173</v>
      </c>
      <c r="E15" s="445">
        <f>ROUND(SUM(H14*B15),0)</f>
        <v>0</v>
      </c>
      <c r="F15" s="125"/>
      <c r="G15" s="444" t="s">
        <v>174</v>
      </c>
      <c r="H15" s="478">
        <f>ROUND(IF(A18&gt;12,0,((12-A18)*H13)),0)</f>
        <v>0</v>
      </c>
      <c r="I15" s="131">
        <f>IF(B7&lt;B6," ",(12-A18))</f>
        <v>12</v>
      </c>
    </row>
    <row r="16" spans="1:14" ht="18" customHeight="1" thickBot="1">
      <c r="A16" s="444" t="s">
        <v>175</v>
      </c>
      <c r="B16" s="132">
        <f>SUM(B14*B15)</f>
        <v>24</v>
      </c>
      <c r="C16" s="133"/>
      <c r="D16" s="444" t="s">
        <v>176</v>
      </c>
      <c r="E16" s="485" t="s">
        <v>459</v>
      </c>
      <c r="F16" s="136"/>
      <c r="G16" s="444" t="s">
        <v>177</v>
      </c>
      <c r="H16" s="478">
        <f>ROUND(IF(I16&lt;12,(I16*H13),IF(I16&gt;=12,(12*H13))),0)</f>
        <v>0</v>
      </c>
      <c r="I16" s="139">
        <f>SUM(B16-I15)</f>
        <v>12</v>
      </c>
    </row>
    <row r="17" spans="1:14" ht="15.75" thickBot="1">
      <c r="A17" s="444" t="s">
        <v>178</v>
      </c>
      <c r="F17" s="140"/>
      <c r="H17" s="141"/>
    </row>
    <row r="18" spans="1:14" ht="15" thickBot="1">
      <c r="A18" s="142">
        <f>MONTH(B7)-MONTH(B6)+12*(YEAR(B7)-YEAR(B6))</f>
        <v>0</v>
      </c>
      <c r="F18" s="140"/>
    </row>
    <row r="19" spans="1:14">
      <c r="F19" s="140"/>
    </row>
    <row r="20" spans="1:14" ht="15">
      <c r="A20" s="143" t="s">
        <v>179</v>
      </c>
      <c r="B20" s="144"/>
      <c r="C20" s="144"/>
      <c r="D20" s="144"/>
      <c r="E20" s="144"/>
      <c r="F20" s="145"/>
      <c r="G20" s="144"/>
    </row>
    <row r="21" spans="1:14">
      <c r="E21" s="140"/>
      <c r="F21" s="140"/>
    </row>
    <row r="22" spans="1:14" ht="25.9" customHeight="1" thickBot="1">
      <c r="A22" s="526" t="s">
        <v>180</v>
      </c>
      <c r="B22" s="526"/>
      <c r="C22" s="526"/>
      <c r="D22" s="526"/>
      <c r="E22" s="526"/>
      <c r="F22" s="526"/>
      <c r="G22" s="526"/>
      <c r="H22" s="526"/>
      <c r="I22" s="108"/>
      <c r="J22" s="108"/>
      <c r="K22" s="108"/>
      <c r="L22" s="108"/>
      <c r="M22" s="108"/>
      <c r="N22" s="108"/>
    </row>
    <row r="23" spans="1:14" ht="18" customHeight="1" thickBot="1">
      <c r="A23" s="444" t="s">
        <v>158</v>
      </c>
      <c r="B23" s="663"/>
      <c r="C23" s="663"/>
      <c r="D23" s="664"/>
    </row>
    <row r="24" spans="1:14" ht="18" customHeight="1">
      <c r="A24" s="444" t="s">
        <v>159</v>
      </c>
      <c r="B24" s="146"/>
      <c r="C24" s="665"/>
      <c r="D24" s="665"/>
      <c r="G24" s="110"/>
    </row>
    <row r="25" spans="1:14" ht="18" customHeight="1">
      <c r="A25" s="444" t="s">
        <v>160</v>
      </c>
      <c r="B25" s="147"/>
      <c r="C25" s="665"/>
      <c r="D25" s="665"/>
    </row>
    <row r="26" spans="1:14" ht="18" customHeight="1">
      <c r="A26" s="444" t="s">
        <v>161</v>
      </c>
      <c r="B26" s="111"/>
      <c r="C26" s="112"/>
      <c r="D26" s="112"/>
    </row>
    <row r="27" spans="1:14" ht="18" customHeight="1">
      <c r="A27" s="444" t="s">
        <v>162</v>
      </c>
      <c r="B27" s="111"/>
      <c r="C27" s="112"/>
      <c r="D27" s="112"/>
    </row>
    <row r="28" spans="1:14" ht="18" customHeight="1">
      <c r="A28" s="444" t="s">
        <v>163</v>
      </c>
      <c r="B28" s="111"/>
      <c r="C28" s="112"/>
      <c r="D28" s="112"/>
    </row>
    <row r="29" spans="1:14" ht="18" customHeight="1" thickBot="1">
      <c r="A29" s="444" t="s">
        <v>164</v>
      </c>
      <c r="B29" s="113"/>
      <c r="C29" s="112"/>
      <c r="D29" s="112"/>
    </row>
    <row r="30" spans="1:14" ht="18" customHeight="1" thickBot="1">
      <c r="A30" s="203" t="s">
        <v>165</v>
      </c>
      <c r="B30" s="445">
        <f>SUM(B26:B29)</f>
        <v>0</v>
      </c>
      <c r="C30" s="115"/>
      <c r="D30" s="116" t="s">
        <v>167</v>
      </c>
      <c r="E30" s="117">
        <f>ROUND(SUM(E31-B30),0)</f>
        <v>0</v>
      </c>
      <c r="F30" s="118"/>
      <c r="G30" s="119" t="s">
        <v>168</v>
      </c>
      <c r="H30" s="120">
        <f>ROUND(SUM(E30/B34),0)</f>
        <v>0</v>
      </c>
    </row>
    <row r="31" spans="1:14" ht="18" customHeight="1" thickBot="1">
      <c r="A31" s="444" t="s">
        <v>166</v>
      </c>
      <c r="B31" s="114">
        <v>0.06</v>
      </c>
      <c r="C31" s="122"/>
      <c r="D31" s="123" t="s">
        <v>170</v>
      </c>
      <c r="E31" s="124">
        <f>ROUND(SUM(H31*B33*B32),0)</f>
        <v>0</v>
      </c>
      <c r="F31" s="125"/>
      <c r="G31" s="126" t="s">
        <v>171</v>
      </c>
      <c r="H31" s="127">
        <f>ROUND(PMT(B31/B33,B34,-B30),0)</f>
        <v>0</v>
      </c>
    </row>
    <row r="32" spans="1:14" ht="18" customHeight="1" thickBot="1">
      <c r="A32" s="444" t="s">
        <v>169</v>
      </c>
      <c r="B32" s="121">
        <v>2</v>
      </c>
      <c r="C32" s="122"/>
      <c r="D32" s="129" t="s">
        <v>173</v>
      </c>
      <c r="E32" s="445">
        <f>ROUND(SUM(H31*B33),0)</f>
        <v>0</v>
      </c>
      <c r="F32" s="125"/>
      <c r="G32" s="126" t="s">
        <v>174</v>
      </c>
      <c r="H32" s="130">
        <f>ROUND(IF(A36&gt;12,0,((12-A36)*H30)),0)</f>
        <v>0</v>
      </c>
      <c r="I32" s="131">
        <f>IF(B25&lt;B24," ",(12-A36))</f>
        <v>12</v>
      </c>
    </row>
    <row r="33" spans="1:14" ht="18" customHeight="1" thickBot="1">
      <c r="A33" s="444" t="s">
        <v>172</v>
      </c>
      <c r="B33" s="128">
        <v>12</v>
      </c>
      <c r="C33" s="133"/>
      <c r="D33" s="134" t="s">
        <v>176</v>
      </c>
      <c r="E33" s="135">
        <f>(B25+(B32*365.25))</f>
        <v>730.5</v>
      </c>
      <c r="F33" s="136"/>
      <c r="G33" s="137" t="s">
        <v>177</v>
      </c>
      <c r="H33" s="138">
        <f>ROUND(IF(I33&lt;12,(I33*H30),IF(I33&gt;=12,(12*H30))),0)</f>
        <v>0</v>
      </c>
      <c r="I33" s="139">
        <f>SUM(B34-I32)</f>
        <v>12</v>
      </c>
    </row>
    <row r="34" spans="1:14" ht="15">
      <c r="A34" s="444" t="s">
        <v>175</v>
      </c>
      <c r="B34" s="132">
        <f>SUM(B32*B33)</f>
        <v>24</v>
      </c>
      <c r="F34" s="140"/>
      <c r="H34" s="141"/>
    </row>
    <row r="35" spans="1:14" ht="15">
      <c r="A35" s="444" t="s">
        <v>178</v>
      </c>
      <c r="F35" s="140"/>
    </row>
    <row r="36" spans="1:14" ht="15" thickBot="1">
      <c r="A36" s="148">
        <f>MONTH(B25)-MONTH(B24)+12*(YEAR(B25)-YEAR(B24))</f>
        <v>0</v>
      </c>
      <c r="E36" s="140"/>
      <c r="F36" s="140"/>
      <c r="G36" s="140"/>
    </row>
    <row r="37" spans="1:14" ht="15">
      <c r="C37" s="144"/>
      <c r="D37" s="144"/>
      <c r="E37" s="144"/>
      <c r="F37" s="145"/>
      <c r="G37" s="144"/>
    </row>
    <row r="38" spans="1:14" ht="15">
      <c r="A38" s="143" t="s">
        <v>179</v>
      </c>
      <c r="B38" s="144"/>
      <c r="E38" s="140"/>
      <c r="F38" s="140"/>
      <c r="G38" s="140"/>
    </row>
    <row r="39" spans="1:14" ht="18" customHeight="1">
      <c r="C39" s="149"/>
      <c r="D39" s="149"/>
      <c r="E39" s="149"/>
      <c r="F39" s="149"/>
      <c r="H39" s="108"/>
      <c r="I39" s="108"/>
      <c r="J39" s="108"/>
      <c r="K39" s="108"/>
      <c r="L39" s="108"/>
      <c r="M39" s="108"/>
      <c r="N39" s="108"/>
    </row>
    <row r="40" spans="1:14" ht="18" customHeight="1">
      <c r="A40" s="149"/>
      <c r="B40" s="149"/>
      <c r="C40" s="109"/>
      <c r="D40" s="109"/>
    </row>
    <row r="41" spans="1:14" ht="18" customHeight="1">
      <c r="B41" s="109"/>
      <c r="C41" s="112"/>
      <c r="D41" s="112"/>
      <c r="G41" s="110"/>
    </row>
    <row r="42" spans="1:14" ht="18" customHeight="1">
      <c r="B42" s="150"/>
      <c r="C42" s="112"/>
      <c r="D42" s="112"/>
    </row>
    <row r="43" spans="1:14" ht="18" customHeight="1">
      <c r="B43" s="151"/>
      <c r="C43" s="112"/>
      <c r="D43" s="112"/>
    </row>
    <row r="44" spans="1:14" ht="18" customHeight="1">
      <c r="B44" s="151"/>
      <c r="C44" s="112"/>
      <c r="D44" s="112"/>
    </row>
    <row r="45" spans="1:14" ht="18" customHeight="1">
      <c r="B45" s="151"/>
      <c r="C45" s="112"/>
      <c r="D45" s="112"/>
    </row>
    <row r="46" spans="1:14" ht="18" customHeight="1">
      <c r="B46" s="151"/>
      <c r="C46" s="112"/>
      <c r="D46" s="112"/>
    </row>
    <row r="47" spans="1:14" ht="18" customHeight="1">
      <c r="A47" s="152"/>
      <c r="B47" s="153"/>
      <c r="C47" s="112"/>
      <c r="D47" s="112"/>
      <c r="E47" s="154"/>
      <c r="G47" s="155"/>
      <c r="H47" s="156"/>
    </row>
    <row r="48" spans="1:14" ht="18" customHeight="1">
      <c r="B48" s="157"/>
      <c r="C48" s="112"/>
      <c r="D48" s="158"/>
      <c r="E48" s="159"/>
      <c r="G48" s="155"/>
      <c r="H48" s="160"/>
    </row>
    <row r="49" spans="1:8" ht="18" customHeight="1">
      <c r="B49" s="161"/>
      <c r="C49" s="112"/>
      <c r="D49" s="112"/>
      <c r="E49" s="154"/>
      <c r="G49" s="155"/>
      <c r="H49" s="156"/>
    </row>
    <row r="50" spans="1:8" ht="18" customHeight="1">
      <c r="B50" s="161"/>
      <c r="C50" s="112"/>
      <c r="D50" s="112"/>
      <c r="E50" s="162"/>
      <c r="G50" s="155"/>
      <c r="H50" s="156"/>
    </row>
    <row r="51" spans="1:8">
      <c r="B51" s="163"/>
      <c r="F51" s="140"/>
      <c r="H51" s="141"/>
    </row>
    <row r="52" spans="1:8">
      <c r="A52" s="164"/>
      <c r="F52" s="140"/>
    </row>
    <row r="53" spans="1:8">
      <c r="A53" s="165"/>
      <c r="E53" s="140"/>
      <c r="F53" s="140"/>
      <c r="G53" s="140"/>
    </row>
    <row r="54" spans="1:8" ht="15">
      <c r="C54" s="144"/>
      <c r="D54" s="144"/>
      <c r="E54" s="144"/>
      <c r="F54" s="145"/>
      <c r="G54" s="144"/>
    </row>
    <row r="55" spans="1:8" ht="15">
      <c r="A55" s="143"/>
      <c r="B55" s="144"/>
      <c r="F55" s="166"/>
      <c r="H55" s="167"/>
    </row>
    <row r="56" spans="1:8" ht="15">
      <c r="C56" s="144"/>
      <c r="F56" s="168"/>
      <c r="H56" s="167"/>
    </row>
    <row r="57" spans="1:8">
      <c r="F57" s="168"/>
      <c r="G57" s="169"/>
    </row>
    <row r="58" spans="1:8">
      <c r="F58" s="168"/>
      <c r="G58" s="169"/>
      <c r="H58" s="170"/>
    </row>
    <row r="59" spans="1:8">
      <c r="F59" s="140"/>
      <c r="G59" s="169"/>
    </row>
    <row r="60" spans="1:8">
      <c r="G60" s="169"/>
    </row>
    <row r="62" spans="1:8" ht="15.75">
      <c r="A62" s="149"/>
      <c r="B62" s="149"/>
      <c r="C62" s="149"/>
      <c r="D62" s="149"/>
      <c r="E62" s="149"/>
      <c r="F62" s="149"/>
    </row>
    <row r="63" spans="1:8">
      <c r="E63" s="140"/>
      <c r="F63" s="140"/>
      <c r="G63" s="140"/>
    </row>
    <row r="64" spans="1:8" ht="15">
      <c r="D64" s="171"/>
      <c r="F64" s="140"/>
      <c r="G64" s="164"/>
    </row>
    <row r="65" spans="1:8">
      <c r="G65" s="172"/>
    </row>
    <row r="66" spans="1:8" ht="15">
      <c r="C66" s="144"/>
      <c r="F66" s="168"/>
      <c r="G66" s="169"/>
    </row>
    <row r="67" spans="1:8">
      <c r="F67" s="173"/>
      <c r="G67" s="169"/>
    </row>
    <row r="68" spans="1:8">
      <c r="D68" s="174"/>
      <c r="F68" s="175"/>
      <c r="G68" s="169"/>
    </row>
    <row r="69" spans="1:8">
      <c r="F69" s="176"/>
      <c r="H69" s="167"/>
    </row>
    <row r="70" spans="1:8" ht="15.75">
      <c r="A70" s="152"/>
      <c r="F70" s="166"/>
      <c r="H70" s="167"/>
    </row>
    <row r="71" spans="1:8" ht="15">
      <c r="C71" s="144"/>
      <c r="F71" s="168"/>
      <c r="G71" s="169"/>
      <c r="H71" s="167"/>
    </row>
    <row r="72" spans="1:8">
      <c r="F72" s="168"/>
      <c r="G72" s="169"/>
    </row>
    <row r="73" spans="1:8">
      <c r="F73" s="168"/>
      <c r="G73" s="169"/>
      <c r="H73" s="170"/>
    </row>
    <row r="74" spans="1:8">
      <c r="F74" s="140"/>
      <c r="G74" s="169"/>
    </row>
    <row r="75" spans="1:8">
      <c r="G75" s="169"/>
    </row>
    <row r="77" spans="1:8" ht="15.75">
      <c r="A77" s="149"/>
      <c r="B77" s="149"/>
      <c r="C77" s="149"/>
      <c r="D77" s="149"/>
      <c r="E77" s="149"/>
      <c r="F77" s="149"/>
    </row>
    <row r="78" spans="1:8">
      <c r="E78" s="140"/>
      <c r="F78" s="140"/>
      <c r="G78" s="140"/>
    </row>
    <row r="79" spans="1:8" ht="15">
      <c r="D79" s="171"/>
      <c r="F79" s="140"/>
      <c r="G79" s="164"/>
    </row>
    <row r="80" spans="1:8">
      <c r="G80" s="172"/>
    </row>
    <row r="81" spans="1:8" ht="15">
      <c r="C81" s="144"/>
      <c r="F81" s="168"/>
      <c r="G81" s="169"/>
    </row>
    <row r="82" spans="1:8">
      <c r="F82" s="173"/>
      <c r="G82" s="169"/>
    </row>
    <row r="83" spans="1:8">
      <c r="D83" s="174"/>
      <c r="F83" s="175"/>
      <c r="G83" s="169"/>
    </row>
    <row r="84" spans="1:8">
      <c r="F84" s="176"/>
      <c r="H84" s="167"/>
    </row>
    <row r="85" spans="1:8" ht="15.75">
      <c r="A85" s="152"/>
      <c r="F85" s="166"/>
      <c r="H85" s="167"/>
    </row>
    <row r="86" spans="1:8" ht="15">
      <c r="C86" s="144"/>
      <c r="F86" s="168"/>
      <c r="G86" s="169"/>
      <c r="H86" s="167"/>
    </row>
    <row r="87" spans="1:8">
      <c r="F87" s="168"/>
      <c r="G87" s="169"/>
    </row>
    <row r="88" spans="1:8">
      <c r="F88" s="168"/>
      <c r="G88" s="169"/>
      <c r="H88" s="170"/>
    </row>
    <row r="89" spans="1:8">
      <c r="F89" s="140"/>
      <c r="G89" s="169"/>
    </row>
    <row r="90" spans="1:8">
      <c r="G90" s="169"/>
    </row>
  </sheetData>
  <mergeCells count="9">
    <mergeCell ref="B23:D23"/>
    <mergeCell ref="C24:D24"/>
    <mergeCell ref="C25:D25"/>
    <mergeCell ref="B1:H1"/>
    <mergeCell ref="A4:H4"/>
    <mergeCell ref="B5:D5"/>
    <mergeCell ref="C6:D6"/>
    <mergeCell ref="C7:D7"/>
    <mergeCell ref="A22:H22"/>
  </mergeCells>
  <dataValidations count="3">
    <dataValidation allowBlank="1" showInputMessage="1" showErrorMessage="1" prompt="Loan Term must retain a value of at least 1" sqref="B32" xr:uid="{7A32EFDE-2DB9-461E-BDF6-2931EE4B5B26}"/>
    <dataValidation type="whole" allowBlank="1" showInputMessage="1" showErrorMessage="1" prompt="Loan Term must retain a value of at least 1 " sqref="B14" xr:uid="{7FA16730-76AA-43FB-A405-8CF3DC011163}">
      <formula1>1</formula1>
      <formula2>1000</formula2>
    </dataValidation>
    <dataValidation type="whole" allowBlank="1" showInputMessage="1" showErrorMessage="1" errorTitle="Loan period" error="the term must not be left blank. It must be a whole number, 1 or higher" promptTitle="Loan period" prompt="There must always be a value here, even if the loan is $0" sqref="F82 F67" xr:uid="{DA451B19-D0C5-45B6-A895-EAB7744BD5D6}">
      <formula1>1</formula1>
      <formula2>999</formula2>
    </dataValidation>
  </dataValidations>
  <pageMargins left="0.23622047244094491" right="0.23622047244094491" top="0.74803149606299213" bottom="0.74803149606299213" header="0.31496062992125984" footer="0.31496062992125984"/>
  <pageSetup scale="78" orientation="portrait" horizontalDpi="1200" verticalDpi="1200" r:id="rId1"/>
  <headerFooter>
    <oddHeader>&amp;L&amp;A&amp;CSelf-Employment Assistance</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4665-85C7-496E-B887-2766315961CA}">
  <sheetPr codeName="Sheet5">
    <tabColor rgb="FF7030A0"/>
    <pageSetUpPr fitToPage="1"/>
  </sheetPr>
  <dimension ref="A1:P41"/>
  <sheetViews>
    <sheetView zoomScale="80" zoomScaleNormal="80" workbookViewId="0">
      <pane ySplit="8" topLeftCell="A12" activePane="bottomLeft" state="frozen"/>
      <selection activeCell="H7" sqref="H7"/>
      <selection pane="bottomLeft" activeCell="P43" sqref="P43"/>
    </sheetView>
  </sheetViews>
  <sheetFormatPr defaultColWidth="9.28515625" defaultRowHeight="12.75"/>
  <cols>
    <col min="1" max="1" width="47.28515625" style="35" customWidth="1"/>
    <col min="2" max="2" width="18.5703125" style="35" customWidth="1"/>
    <col min="3" max="14" width="10.7109375" style="35" customWidth="1"/>
    <col min="15" max="15" width="15.5703125" style="35" customWidth="1"/>
    <col min="16" max="16" width="82.28515625" style="35" customWidth="1"/>
    <col min="17" max="16384" width="9.28515625" style="35"/>
  </cols>
  <sheetData>
    <row r="1" spans="1:16" ht="28.5" customHeight="1">
      <c r="A1" s="421" t="s">
        <v>181</v>
      </c>
      <c r="B1" s="583" t="str">
        <f>'Set Up Details'!C2</f>
        <v>Test1</v>
      </c>
      <c r="C1" s="583"/>
      <c r="D1" s="583"/>
      <c r="E1" s="583"/>
      <c r="F1" s="583"/>
      <c r="G1" s="583"/>
      <c r="H1" s="583"/>
      <c r="I1" s="583"/>
      <c r="J1" s="583"/>
      <c r="K1" s="583"/>
      <c r="L1" s="583"/>
      <c r="M1" s="583"/>
      <c r="N1" s="583"/>
      <c r="O1" s="583"/>
      <c r="P1" s="177"/>
    </row>
    <row r="2" spans="1:16" ht="15.6" customHeight="1">
      <c r="A2" s="526" t="s">
        <v>182</v>
      </c>
      <c r="B2" s="526"/>
      <c r="C2" s="526"/>
      <c r="D2" s="526"/>
      <c r="E2" s="526"/>
      <c r="F2" s="526"/>
      <c r="G2" s="526"/>
      <c r="H2" s="526"/>
      <c r="I2" s="526"/>
      <c r="J2" s="526"/>
      <c r="K2" s="526"/>
      <c r="L2" s="526"/>
      <c r="M2" s="526"/>
      <c r="N2" s="526"/>
      <c r="O2" s="526"/>
      <c r="P2" s="666" t="s">
        <v>183</v>
      </c>
    </row>
    <row r="3" spans="1:16" ht="16.149999999999999" customHeight="1">
      <c r="A3" s="526"/>
      <c r="B3" s="526"/>
      <c r="C3" s="526"/>
      <c r="D3" s="526"/>
      <c r="E3" s="526"/>
      <c r="F3" s="526"/>
      <c r="G3" s="526"/>
      <c r="H3" s="526"/>
      <c r="I3" s="526"/>
      <c r="J3" s="526"/>
      <c r="K3" s="526"/>
      <c r="L3" s="526"/>
      <c r="M3" s="526"/>
      <c r="N3" s="526"/>
      <c r="O3" s="526"/>
      <c r="P3" s="666"/>
    </row>
    <row r="4" spans="1:16" ht="13.15" customHeight="1">
      <c r="A4" s="668" t="s">
        <v>184</v>
      </c>
      <c r="B4" s="488"/>
      <c r="C4" s="667" t="str">
        <f>'Personal Cash Flow Budget Y1'!B4</f>
        <v>Jan</v>
      </c>
      <c r="D4" s="667" t="str">
        <f>'Personal Cash Flow Budget Y1'!C4</f>
        <v>Feb</v>
      </c>
      <c r="E4" s="667" t="str">
        <f>'Personal Cash Flow Budget Y1'!D4</f>
        <v>Mar</v>
      </c>
      <c r="F4" s="667" t="str">
        <f>'Personal Cash Flow Budget Y1'!E4</f>
        <v>Apr</v>
      </c>
      <c r="G4" s="667" t="str">
        <f>'Personal Cash Flow Budget Y1'!F4</f>
        <v>May</v>
      </c>
      <c r="H4" s="667" t="str">
        <f>'Personal Cash Flow Budget Y1'!G4</f>
        <v>Jun</v>
      </c>
      <c r="I4" s="667" t="str">
        <f>'Personal Cash Flow Budget Y1'!H4</f>
        <v>Jul</v>
      </c>
      <c r="J4" s="667" t="str">
        <f>'Personal Cash Flow Budget Y1'!I4</f>
        <v>Aug</v>
      </c>
      <c r="K4" s="667" t="str">
        <f>'Personal Cash Flow Budget Y1'!J4</f>
        <v>Sep</v>
      </c>
      <c r="L4" s="667" t="str">
        <f>'Personal Cash Flow Budget Y1'!K4</f>
        <v>Oct</v>
      </c>
      <c r="M4" s="667" t="str">
        <f>'Personal Cash Flow Budget Y1'!L4</f>
        <v>Nov</v>
      </c>
      <c r="N4" s="667" t="str">
        <f>'Personal Cash Flow Budget Y1'!M4</f>
        <v>Dec</v>
      </c>
      <c r="O4" s="667" t="s">
        <v>60</v>
      </c>
      <c r="P4" s="666"/>
    </row>
    <row r="5" spans="1:16" ht="13.9" customHeight="1" thickBot="1">
      <c r="A5" s="668"/>
      <c r="B5" s="488"/>
      <c r="C5" s="667"/>
      <c r="D5" s="667"/>
      <c r="E5" s="667"/>
      <c r="F5" s="667"/>
      <c r="G5" s="667"/>
      <c r="H5" s="667"/>
      <c r="I5" s="667"/>
      <c r="J5" s="667"/>
      <c r="K5" s="667"/>
      <c r="L5" s="667"/>
      <c r="M5" s="667"/>
      <c r="N5" s="667"/>
      <c r="O5" s="667"/>
      <c r="P5" s="666"/>
    </row>
    <row r="6" spans="1:16" ht="18" customHeight="1" thickBot="1">
      <c r="A6" s="178" t="s">
        <v>185</v>
      </c>
      <c r="B6" s="179" t="s">
        <v>186</v>
      </c>
      <c r="C6" s="180">
        <v>400</v>
      </c>
      <c r="D6" s="180"/>
      <c r="E6" s="180"/>
      <c r="F6" s="180"/>
      <c r="G6" s="180"/>
      <c r="H6" s="180"/>
      <c r="I6" s="180">
        <v>400</v>
      </c>
      <c r="J6" s="180"/>
      <c r="K6" s="180"/>
      <c r="L6" s="180"/>
      <c r="M6" s="180"/>
      <c r="N6" s="180"/>
      <c r="O6" s="445">
        <f>SUM(C6:N6)</f>
        <v>800</v>
      </c>
      <c r="P6" s="666"/>
    </row>
    <row r="7" spans="1:16" ht="18" customHeight="1" thickBot="1">
      <c r="A7" s="181" t="s">
        <v>187</v>
      </c>
      <c r="B7" s="182" t="s">
        <v>186</v>
      </c>
      <c r="C7" s="183"/>
      <c r="D7" s="183">
        <v>0</v>
      </c>
      <c r="E7" s="183"/>
      <c r="F7" s="183">
        <v>0</v>
      </c>
      <c r="G7" s="183"/>
      <c r="H7" s="183">
        <v>0</v>
      </c>
      <c r="I7" s="183"/>
      <c r="J7" s="183">
        <v>0</v>
      </c>
      <c r="K7" s="183"/>
      <c r="L7" s="183">
        <v>0</v>
      </c>
      <c r="M7" s="183"/>
      <c r="N7" s="183">
        <v>0</v>
      </c>
      <c r="O7" s="445">
        <f>SUM(C7:N7)</f>
        <v>0</v>
      </c>
      <c r="P7" s="666"/>
    </row>
    <row r="8" spans="1:16" ht="9.6" customHeight="1" thickBot="1">
      <c r="A8" s="184"/>
      <c r="B8" s="185"/>
      <c r="C8" s="186"/>
      <c r="D8" s="187"/>
      <c r="E8" s="187"/>
      <c r="F8" s="187"/>
      <c r="G8" s="187"/>
      <c r="H8" s="187"/>
      <c r="I8" s="187"/>
      <c r="J8" s="187"/>
      <c r="K8" s="187"/>
      <c r="L8" s="187"/>
      <c r="M8" s="187"/>
      <c r="N8" s="188"/>
      <c r="O8" s="189"/>
      <c r="P8" s="190"/>
    </row>
    <row r="9" spans="1:16" ht="20.100000000000001" customHeight="1" thickBot="1">
      <c r="A9" s="489" t="s">
        <v>188</v>
      </c>
      <c r="B9" s="191" t="s">
        <v>186</v>
      </c>
      <c r="C9" s="478"/>
      <c r="D9" s="478"/>
      <c r="E9" s="478"/>
      <c r="F9" s="478"/>
      <c r="G9" s="478"/>
      <c r="H9" s="478"/>
      <c r="I9" s="478"/>
      <c r="J9" s="478"/>
      <c r="K9" s="478"/>
      <c r="L9" s="478"/>
      <c r="M9" s="478"/>
      <c r="N9" s="478"/>
      <c r="O9" s="445">
        <f t="shared" ref="O9:O39" si="0">SUM(C9:N9)</f>
        <v>0</v>
      </c>
      <c r="P9" s="443"/>
    </row>
    <row r="10" spans="1:16" ht="20.100000000000001" customHeight="1" thickBot="1">
      <c r="A10" s="489" t="s">
        <v>189</v>
      </c>
      <c r="B10" s="191" t="s">
        <v>186</v>
      </c>
      <c r="C10" s="478"/>
      <c r="D10" s="478"/>
      <c r="E10" s="478"/>
      <c r="F10" s="478"/>
      <c r="G10" s="478"/>
      <c r="H10" s="478"/>
      <c r="I10" s="478"/>
      <c r="J10" s="478"/>
      <c r="K10" s="478"/>
      <c r="L10" s="478"/>
      <c r="M10" s="478"/>
      <c r="N10" s="478"/>
      <c r="O10" s="445">
        <f t="shared" si="0"/>
        <v>0</v>
      </c>
      <c r="P10" s="443"/>
    </row>
    <row r="11" spans="1:16" ht="20.100000000000001" customHeight="1" thickBot="1">
      <c r="A11" s="489" t="s">
        <v>190</v>
      </c>
      <c r="B11" s="191" t="s">
        <v>186</v>
      </c>
      <c r="C11" s="478"/>
      <c r="D11" s="478"/>
      <c r="E11" s="478"/>
      <c r="F11" s="478"/>
      <c r="G11" s="478"/>
      <c r="H11" s="478"/>
      <c r="I11" s="478"/>
      <c r="J11" s="478"/>
      <c r="K11" s="478"/>
      <c r="L11" s="478"/>
      <c r="M11" s="478"/>
      <c r="N11" s="478"/>
      <c r="O11" s="445">
        <f t="shared" si="0"/>
        <v>0</v>
      </c>
      <c r="P11" s="443"/>
    </row>
    <row r="12" spans="1:16" ht="20.100000000000001" customHeight="1" thickBot="1">
      <c r="A12" s="489" t="s">
        <v>191</v>
      </c>
      <c r="B12" s="191" t="s">
        <v>186</v>
      </c>
      <c r="C12" s="478"/>
      <c r="D12" s="478"/>
      <c r="E12" s="478"/>
      <c r="F12" s="478"/>
      <c r="G12" s="478"/>
      <c r="H12" s="478"/>
      <c r="I12" s="478"/>
      <c r="J12" s="478"/>
      <c r="K12" s="478"/>
      <c r="L12" s="478"/>
      <c r="M12" s="478"/>
      <c r="N12" s="478"/>
      <c r="O12" s="445">
        <f t="shared" si="0"/>
        <v>0</v>
      </c>
      <c r="P12" s="443"/>
    </row>
    <row r="13" spans="1:16" ht="20.100000000000001" customHeight="1" thickBot="1">
      <c r="A13" s="489" t="s">
        <v>192</v>
      </c>
      <c r="B13" s="191" t="s">
        <v>186</v>
      </c>
      <c r="C13" s="478"/>
      <c r="D13" s="478"/>
      <c r="E13" s="478"/>
      <c r="F13" s="478"/>
      <c r="G13" s="478"/>
      <c r="H13" s="478"/>
      <c r="I13" s="478"/>
      <c r="J13" s="478"/>
      <c r="K13" s="478"/>
      <c r="L13" s="478"/>
      <c r="M13" s="478"/>
      <c r="N13" s="478"/>
      <c r="O13" s="445">
        <f t="shared" si="0"/>
        <v>0</v>
      </c>
      <c r="P13" s="443"/>
    </row>
    <row r="14" spans="1:16" ht="20.100000000000001" customHeight="1" thickBot="1">
      <c r="A14" s="489" t="s">
        <v>193</v>
      </c>
      <c r="B14" s="191" t="s">
        <v>186</v>
      </c>
      <c r="C14" s="478"/>
      <c r="D14" s="478"/>
      <c r="E14" s="478"/>
      <c r="F14" s="478"/>
      <c r="G14" s="478"/>
      <c r="H14" s="478"/>
      <c r="I14" s="478"/>
      <c r="J14" s="478"/>
      <c r="K14" s="478"/>
      <c r="L14" s="478"/>
      <c r="M14" s="478"/>
      <c r="N14" s="478"/>
      <c r="O14" s="445">
        <f t="shared" si="0"/>
        <v>0</v>
      </c>
      <c r="P14" s="443"/>
    </row>
    <row r="15" spans="1:16" ht="20.100000000000001" customHeight="1" thickBot="1">
      <c r="A15" s="489" t="s">
        <v>194</v>
      </c>
      <c r="B15" s="191" t="s">
        <v>186</v>
      </c>
      <c r="C15" s="478"/>
      <c r="D15" s="478"/>
      <c r="E15" s="478"/>
      <c r="F15" s="478"/>
      <c r="G15" s="478"/>
      <c r="H15" s="478"/>
      <c r="I15" s="478"/>
      <c r="J15" s="478"/>
      <c r="K15" s="478"/>
      <c r="L15" s="478"/>
      <c r="M15" s="478"/>
      <c r="N15" s="478"/>
      <c r="O15" s="445">
        <f t="shared" si="0"/>
        <v>0</v>
      </c>
      <c r="P15" s="443"/>
    </row>
    <row r="16" spans="1:16" ht="20.100000000000001" customHeight="1" thickBot="1">
      <c r="A16" s="489" t="s">
        <v>195</v>
      </c>
      <c r="B16" s="191" t="s">
        <v>186</v>
      </c>
      <c r="C16" s="478"/>
      <c r="D16" s="478"/>
      <c r="E16" s="478"/>
      <c r="F16" s="478"/>
      <c r="G16" s="478"/>
      <c r="H16" s="478"/>
      <c r="I16" s="478"/>
      <c r="J16" s="478"/>
      <c r="K16" s="478"/>
      <c r="L16" s="478"/>
      <c r="M16" s="478"/>
      <c r="N16" s="478"/>
      <c r="O16" s="445">
        <f t="shared" si="0"/>
        <v>0</v>
      </c>
      <c r="P16" s="443"/>
    </row>
    <row r="17" spans="1:16" ht="20.100000000000001" customHeight="1" thickBot="1">
      <c r="A17" s="489" t="s">
        <v>196</v>
      </c>
      <c r="B17" s="191" t="s">
        <v>186</v>
      </c>
      <c r="C17" s="478"/>
      <c r="D17" s="478"/>
      <c r="E17" s="478"/>
      <c r="F17" s="478"/>
      <c r="G17" s="478"/>
      <c r="H17" s="478"/>
      <c r="I17" s="478"/>
      <c r="J17" s="478"/>
      <c r="K17" s="478"/>
      <c r="L17" s="478"/>
      <c r="M17" s="478"/>
      <c r="N17" s="478"/>
      <c r="O17" s="445">
        <f t="shared" si="0"/>
        <v>0</v>
      </c>
      <c r="P17" s="443"/>
    </row>
    <row r="18" spans="1:16" ht="20.100000000000001" customHeight="1" thickBot="1">
      <c r="A18" s="489" t="s">
        <v>197</v>
      </c>
      <c r="B18" s="191" t="s">
        <v>186</v>
      </c>
      <c r="C18" s="478"/>
      <c r="D18" s="478"/>
      <c r="E18" s="478"/>
      <c r="F18" s="478"/>
      <c r="G18" s="478"/>
      <c r="H18" s="478"/>
      <c r="I18" s="478"/>
      <c r="J18" s="478"/>
      <c r="K18" s="478"/>
      <c r="L18" s="478"/>
      <c r="M18" s="478"/>
      <c r="N18" s="478"/>
      <c r="O18" s="445">
        <f t="shared" si="0"/>
        <v>0</v>
      </c>
      <c r="P18" s="443"/>
    </row>
    <row r="19" spans="1:16" ht="20.100000000000001" customHeight="1" thickBot="1">
      <c r="A19" s="489" t="s">
        <v>198</v>
      </c>
      <c r="B19" s="191" t="s">
        <v>186</v>
      </c>
      <c r="C19" s="478"/>
      <c r="D19" s="478"/>
      <c r="E19" s="478"/>
      <c r="F19" s="478"/>
      <c r="G19" s="478"/>
      <c r="H19" s="478"/>
      <c r="I19" s="478"/>
      <c r="J19" s="478"/>
      <c r="K19" s="478"/>
      <c r="L19" s="478"/>
      <c r="M19" s="478"/>
      <c r="N19" s="478"/>
      <c r="O19" s="445">
        <f t="shared" si="0"/>
        <v>0</v>
      </c>
      <c r="P19" s="443"/>
    </row>
    <row r="20" spans="1:16" ht="20.100000000000001" customHeight="1" thickBot="1">
      <c r="A20" s="489" t="s">
        <v>199</v>
      </c>
      <c r="B20" s="191" t="s">
        <v>186</v>
      </c>
      <c r="C20" s="478"/>
      <c r="D20" s="478"/>
      <c r="E20" s="478"/>
      <c r="F20" s="478"/>
      <c r="G20" s="478"/>
      <c r="H20" s="478"/>
      <c r="I20" s="478"/>
      <c r="J20" s="478"/>
      <c r="K20" s="478"/>
      <c r="L20" s="478"/>
      <c r="M20" s="478"/>
      <c r="N20" s="478"/>
      <c r="O20" s="445">
        <f t="shared" si="0"/>
        <v>0</v>
      </c>
      <c r="P20" s="443"/>
    </row>
    <row r="21" spans="1:16" ht="20.100000000000001" customHeight="1" thickBot="1">
      <c r="A21" s="489" t="s">
        <v>200</v>
      </c>
      <c r="B21" s="191" t="s">
        <v>186</v>
      </c>
      <c r="C21" s="478"/>
      <c r="D21" s="478"/>
      <c r="E21" s="478"/>
      <c r="F21" s="478"/>
      <c r="G21" s="478"/>
      <c r="H21" s="478"/>
      <c r="I21" s="478"/>
      <c r="J21" s="478"/>
      <c r="K21" s="478"/>
      <c r="L21" s="478"/>
      <c r="M21" s="478"/>
      <c r="N21" s="478"/>
      <c r="O21" s="445">
        <f t="shared" si="0"/>
        <v>0</v>
      </c>
      <c r="P21" s="443"/>
    </row>
    <row r="22" spans="1:16" ht="20.100000000000001" customHeight="1" thickBot="1">
      <c r="A22" s="489" t="s">
        <v>201</v>
      </c>
      <c r="B22" s="191" t="s">
        <v>186</v>
      </c>
      <c r="C22" s="478"/>
      <c r="D22" s="478"/>
      <c r="E22" s="478"/>
      <c r="F22" s="478"/>
      <c r="G22" s="478"/>
      <c r="H22" s="478"/>
      <c r="I22" s="478"/>
      <c r="J22" s="478"/>
      <c r="K22" s="478"/>
      <c r="L22" s="478"/>
      <c r="M22" s="478"/>
      <c r="N22" s="478"/>
      <c r="O22" s="445">
        <f t="shared" si="0"/>
        <v>0</v>
      </c>
      <c r="P22" s="443"/>
    </row>
    <row r="23" spans="1:16" ht="20.100000000000001" customHeight="1" thickBot="1">
      <c r="A23" s="489" t="s">
        <v>202</v>
      </c>
      <c r="B23" s="191" t="s">
        <v>186</v>
      </c>
      <c r="C23" s="478"/>
      <c r="D23" s="478"/>
      <c r="E23" s="478"/>
      <c r="F23" s="478"/>
      <c r="G23" s="478"/>
      <c r="H23" s="478"/>
      <c r="I23" s="478"/>
      <c r="J23" s="478"/>
      <c r="K23" s="478"/>
      <c r="L23" s="478"/>
      <c r="M23" s="478"/>
      <c r="N23" s="478"/>
      <c r="O23" s="445">
        <f t="shared" si="0"/>
        <v>0</v>
      </c>
      <c r="P23" s="443"/>
    </row>
    <row r="24" spans="1:16" ht="20.100000000000001" customHeight="1" thickBot="1">
      <c r="A24" s="489" t="s">
        <v>203</v>
      </c>
      <c r="B24" s="191" t="s">
        <v>186</v>
      </c>
      <c r="C24" s="478"/>
      <c r="D24" s="478"/>
      <c r="E24" s="478"/>
      <c r="F24" s="478"/>
      <c r="G24" s="478"/>
      <c r="H24" s="478"/>
      <c r="I24" s="478"/>
      <c r="J24" s="478"/>
      <c r="K24" s="478"/>
      <c r="L24" s="478"/>
      <c r="M24" s="478"/>
      <c r="N24" s="478"/>
      <c r="O24" s="445">
        <f t="shared" si="0"/>
        <v>0</v>
      </c>
      <c r="P24" s="443"/>
    </row>
    <row r="25" spans="1:16" ht="20.100000000000001" customHeight="1" thickBot="1">
      <c r="A25" s="489" t="s">
        <v>204</v>
      </c>
      <c r="B25" s="191" t="s">
        <v>186</v>
      </c>
      <c r="C25" s="478"/>
      <c r="D25" s="478"/>
      <c r="E25" s="478"/>
      <c r="F25" s="478"/>
      <c r="G25" s="478"/>
      <c r="H25" s="478"/>
      <c r="I25" s="478"/>
      <c r="J25" s="478"/>
      <c r="K25" s="478"/>
      <c r="L25" s="478"/>
      <c r="M25" s="478"/>
      <c r="N25" s="478"/>
      <c r="O25" s="445">
        <f t="shared" si="0"/>
        <v>0</v>
      </c>
      <c r="P25" s="443"/>
    </row>
    <row r="26" spans="1:16" ht="20.100000000000001" customHeight="1" thickBot="1">
      <c r="A26" s="489" t="s">
        <v>205</v>
      </c>
      <c r="B26" s="191" t="s">
        <v>186</v>
      </c>
      <c r="C26" s="478"/>
      <c r="D26" s="478"/>
      <c r="E26" s="478"/>
      <c r="F26" s="478"/>
      <c r="G26" s="478"/>
      <c r="H26" s="478"/>
      <c r="I26" s="478"/>
      <c r="J26" s="478"/>
      <c r="K26" s="478"/>
      <c r="L26" s="478"/>
      <c r="M26" s="478"/>
      <c r="N26" s="478"/>
      <c r="O26" s="445">
        <f t="shared" si="0"/>
        <v>0</v>
      </c>
      <c r="P26" s="443"/>
    </row>
    <row r="27" spans="1:16" ht="20.100000000000001" customHeight="1" thickBot="1">
      <c r="A27" s="489" t="s">
        <v>206</v>
      </c>
      <c r="B27" s="191" t="s">
        <v>186</v>
      </c>
      <c r="C27" s="478"/>
      <c r="D27" s="478"/>
      <c r="E27" s="478"/>
      <c r="F27" s="478"/>
      <c r="G27" s="478"/>
      <c r="H27" s="478"/>
      <c r="I27" s="478"/>
      <c r="J27" s="478"/>
      <c r="K27" s="478"/>
      <c r="L27" s="478"/>
      <c r="M27" s="478"/>
      <c r="N27" s="478"/>
      <c r="O27" s="445">
        <f t="shared" si="0"/>
        <v>0</v>
      </c>
      <c r="P27" s="443"/>
    </row>
    <row r="28" spans="1:16" ht="20.100000000000001" customHeight="1" thickBot="1">
      <c r="A28" s="489" t="s">
        <v>207</v>
      </c>
      <c r="B28" s="191" t="s">
        <v>186</v>
      </c>
      <c r="C28" s="478"/>
      <c r="D28" s="478"/>
      <c r="E28" s="478"/>
      <c r="F28" s="478"/>
      <c r="G28" s="478"/>
      <c r="H28" s="478"/>
      <c r="I28" s="478"/>
      <c r="J28" s="478"/>
      <c r="K28" s="478"/>
      <c r="L28" s="478"/>
      <c r="M28" s="478"/>
      <c r="N28" s="478"/>
      <c r="O28" s="445">
        <f t="shared" si="0"/>
        <v>0</v>
      </c>
      <c r="P28" s="443"/>
    </row>
    <row r="29" spans="1:16" ht="20.100000000000001" customHeight="1" thickBot="1">
      <c r="A29" s="489" t="s">
        <v>208</v>
      </c>
      <c r="B29" s="191" t="s">
        <v>186</v>
      </c>
      <c r="C29" s="478"/>
      <c r="D29" s="478"/>
      <c r="E29" s="478"/>
      <c r="F29" s="478"/>
      <c r="G29" s="478"/>
      <c r="H29" s="478"/>
      <c r="I29" s="478"/>
      <c r="J29" s="478"/>
      <c r="K29" s="478"/>
      <c r="L29" s="478"/>
      <c r="M29" s="478"/>
      <c r="N29" s="478"/>
      <c r="O29" s="445">
        <f t="shared" si="0"/>
        <v>0</v>
      </c>
      <c r="P29" s="443"/>
    </row>
    <row r="30" spans="1:16" ht="20.100000000000001" customHeight="1" thickBot="1">
      <c r="A30" s="489" t="s">
        <v>208</v>
      </c>
      <c r="B30" s="191" t="s">
        <v>186</v>
      </c>
      <c r="C30" s="478"/>
      <c r="D30" s="478"/>
      <c r="E30" s="478"/>
      <c r="F30" s="478"/>
      <c r="G30" s="478"/>
      <c r="H30" s="478"/>
      <c r="I30" s="478"/>
      <c r="J30" s="478"/>
      <c r="K30" s="478"/>
      <c r="L30" s="478"/>
      <c r="M30" s="478"/>
      <c r="N30" s="478"/>
      <c r="O30" s="445">
        <f t="shared" si="0"/>
        <v>0</v>
      </c>
      <c r="P30" s="443"/>
    </row>
    <row r="31" spans="1:16" ht="20.100000000000001" customHeight="1" thickBot="1">
      <c r="A31" s="489" t="s">
        <v>209</v>
      </c>
      <c r="B31" s="191" t="s">
        <v>186</v>
      </c>
      <c r="C31" s="478"/>
      <c r="D31" s="478"/>
      <c r="E31" s="478"/>
      <c r="F31" s="478"/>
      <c r="G31" s="478"/>
      <c r="H31" s="478"/>
      <c r="I31" s="478"/>
      <c r="J31" s="478"/>
      <c r="K31" s="478"/>
      <c r="L31" s="478"/>
      <c r="M31" s="478"/>
      <c r="N31" s="478"/>
      <c r="O31" s="445">
        <f t="shared" si="0"/>
        <v>0</v>
      </c>
      <c r="P31" s="443"/>
    </row>
    <row r="32" spans="1:16" ht="20.100000000000001" customHeight="1" thickBot="1">
      <c r="A32" s="489" t="s">
        <v>210</v>
      </c>
      <c r="B32" s="191" t="s">
        <v>186</v>
      </c>
      <c r="C32" s="478"/>
      <c r="D32" s="478"/>
      <c r="E32" s="478"/>
      <c r="F32" s="478"/>
      <c r="G32" s="478"/>
      <c r="H32" s="478"/>
      <c r="I32" s="478"/>
      <c r="J32" s="478"/>
      <c r="K32" s="478"/>
      <c r="L32" s="478"/>
      <c r="M32" s="478"/>
      <c r="N32" s="478"/>
      <c r="O32" s="445">
        <f t="shared" si="0"/>
        <v>0</v>
      </c>
      <c r="P32" s="443"/>
    </row>
    <row r="33" spans="1:16" ht="20.100000000000001" customHeight="1" thickBot="1">
      <c r="A33" s="489" t="s">
        <v>211</v>
      </c>
      <c r="B33" s="191" t="s">
        <v>186</v>
      </c>
      <c r="C33" s="478"/>
      <c r="D33" s="478"/>
      <c r="E33" s="478"/>
      <c r="F33" s="478"/>
      <c r="G33" s="478"/>
      <c r="H33" s="478"/>
      <c r="I33" s="478"/>
      <c r="J33" s="478"/>
      <c r="K33" s="478"/>
      <c r="L33" s="478"/>
      <c r="M33" s="478"/>
      <c r="N33" s="478"/>
      <c r="O33" s="445">
        <f t="shared" si="0"/>
        <v>0</v>
      </c>
      <c r="P33" s="443"/>
    </row>
    <row r="34" spans="1:16" ht="20.100000000000001" customHeight="1" thickBot="1">
      <c r="A34" s="489" t="s">
        <v>212</v>
      </c>
      <c r="B34" s="191" t="s">
        <v>186</v>
      </c>
      <c r="C34" s="478"/>
      <c r="D34" s="478"/>
      <c r="E34" s="478"/>
      <c r="F34" s="478"/>
      <c r="G34" s="478"/>
      <c r="H34" s="478"/>
      <c r="I34" s="478"/>
      <c r="J34" s="478"/>
      <c r="K34" s="478"/>
      <c r="L34" s="478"/>
      <c r="M34" s="478"/>
      <c r="N34" s="478"/>
      <c r="O34" s="445">
        <f t="shared" si="0"/>
        <v>0</v>
      </c>
      <c r="P34" s="443"/>
    </row>
    <row r="35" spans="1:16" ht="20.100000000000001" customHeight="1" thickBot="1">
      <c r="A35" s="489" t="s">
        <v>213</v>
      </c>
      <c r="B35" s="191" t="s">
        <v>186</v>
      </c>
      <c r="C35" s="478"/>
      <c r="D35" s="478"/>
      <c r="E35" s="478"/>
      <c r="F35" s="478"/>
      <c r="G35" s="478"/>
      <c r="H35" s="478"/>
      <c r="I35" s="478"/>
      <c r="J35" s="478"/>
      <c r="K35" s="478"/>
      <c r="L35" s="478"/>
      <c r="M35" s="478"/>
      <c r="N35" s="478"/>
      <c r="O35" s="445">
        <f t="shared" si="0"/>
        <v>0</v>
      </c>
      <c r="P35" s="443"/>
    </row>
    <row r="36" spans="1:16" ht="20.100000000000001" customHeight="1" thickBot="1">
      <c r="A36" s="489" t="s">
        <v>214</v>
      </c>
      <c r="B36" s="191" t="s">
        <v>186</v>
      </c>
      <c r="C36" s="478"/>
      <c r="D36" s="478"/>
      <c r="E36" s="478"/>
      <c r="F36" s="478"/>
      <c r="G36" s="478"/>
      <c r="H36" s="478"/>
      <c r="I36" s="478"/>
      <c r="J36" s="478"/>
      <c r="K36" s="478"/>
      <c r="L36" s="478"/>
      <c r="M36" s="478"/>
      <c r="N36" s="478"/>
      <c r="O36" s="445">
        <f t="shared" si="0"/>
        <v>0</v>
      </c>
      <c r="P36" s="443"/>
    </row>
    <row r="37" spans="1:16" ht="20.100000000000001" customHeight="1" thickBot="1">
      <c r="A37" s="489"/>
      <c r="B37" s="191" t="s">
        <v>186</v>
      </c>
      <c r="C37" s="478"/>
      <c r="D37" s="478"/>
      <c r="E37" s="478"/>
      <c r="F37" s="478"/>
      <c r="G37" s="478"/>
      <c r="H37" s="478"/>
      <c r="I37" s="478"/>
      <c r="J37" s="478"/>
      <c r="K37" s="478"/>
      <c r="L37" s="478"/>
      <c r="M37" s="478"/>
      <c r="N37" s="478"/>
      <c r="O37" s="445">
        <f t="shared" si="0"/>
        <v>0</v>
      </c>
      <c r="P37" s="443"/>
    </row>
    <row r="38" spans="1:16" ht="20.100000000000001" customHeight="1" thickBot="1">
      <c r="A38" s="489"/>
      <c r="B38" s="191" t="s">
        <v>186</v>
      </c>
      <c r="C38" s="478"/>
      <c r="D38" s="478"/>
      <c r="E38" s="478"/>
      <c r="F38" s="478"/>
      <c r="G38" s="478"/>
      <c r="H38" s="478"/>
      <c r="I38" s="478"/>
      <c r="J38" s="478"/>
      <c r="K38" s="478"/>
      <c r="L38" s="478"/>
      <c r="M38" s="478"/>
      <c r="N38" s="478"/>
      <c r="O38" s="445">
        <f t="shared" si="0"/>
        <v>0</v>
      </c>
      <c r="P38" s="443"/>
    </row>
    <row r="39" spans="1:16" ht="20.100000000000001" customHeight="1" thickBot="1">
      <c r="A39" s="489"/>
      <c r="B39" s="191" t="s">
        <v>186</v>
      </c>
      <c r="C39" s="478"/>
      <c r="D39" s="478"/>
      <c r="E39" s="478"/>
      <c r="F39" s="478"/>
      <c r="G39" s="478"/>
      <c r="H39" s="478"/>
      <c r="I39" s="478"/>
      <c r="J39" s="478"/>
      <c r="K39" s="478"/>
      <c r="L39" s="478"/>
      <c r="M39" s="478"/>
      <c r="N39" s="478"/>
      <c r="O39" s="445">
        <f t="shared" si="0"/>
        <v>0</v>
      </c>
      <c r="P39" s="443"/>
    </row>
    <row r="40" spans="1:16" ht="29.65" customHeight="1" thickBot="1">
      <c r="A40" s="666" t="s">
        <v>215</v>
      </c>
      <c r="B40" s="666"/>
      <c r="C40" s="445">
        <f t="shared" ref="C40:N40" si="1">ROUND((C9+C10+C11+C12+C13+C14+C15+C16+C17+C18+C19+C20+C21+C22+C23+C24+C25+C26+C27+C28+C29+C30+C31+C32+C33+C34+C35+C36+C37+C38+C39),0)</f>
        <v>0</v>
      </c>
      <c r="D40" s="445">
        <f t="shared" si="1"/>
        <v>0</v>
      </c>
      <c r="E40" s="445">
        <f t="shared" si="1"/>
        <v>0</v>
      </c>
      <c r="F40" s="445">
        <f t="shared" si="1"/>
        <v>0</v>
      </c>
      <c r="G40" s="445">
        <f t="shared" si="1"/>
        <v>0</v>
      </c>
      <c r="H40" s="445">
        <f t="shared" si="1"/>
        <v>0</v>
      </c>
      <c r="I40" s="445">
        <f t="shared" si="1"/>
        <v>0</v>
      </c>
      <c r="J40" s="445">
        <f t="shared" si="1"/>
        <v>0</v>
      </c>
      <c r="K40" s="445">
        <f t="shared" si="1"/>
        <v>0</v>
      </c>
      <c r="L40" s="445">
        <f t="shared" si="1"/>
        <v>0</v>
      </c>
      <c r="M40" s="445">
        <f t="shared" si="1"/>
        <v>0</v>
      </c>
      <c r="N40" s="445">
        <f t="shared" si="1"/>
        <v>0</v>
      </c>
      <c r="O40" s="445">
        <f>SUM(O9:O39)</f>
        <v>0</v>
      </c>
      <c r="P40" s="192"/>
    </row>
    <row r="41" spans="1:16" ht="15" customHeight="1"/>
  </sheetData>
  <sheetProtection formatCells="0"/>
  <mergeCells count="18">
    <mergeCell ref="B1:O1"/>
    <mergeCell ref="P2:P7"/>
    <mergeCell ref="A4:A5"/>
    <mergeCell ref="C4:C5"/>
    <mergeCell ref="D4:D5"/>
    <mergeCell ref="E4:E5"/>
    <mergeCell ref="F4:F5"/>
    <mergeCell ref="G4:G5"/>
    <mergeCell ref="A2:O3"/>
    <mergeCell ref="N4:N5"/>
    <mergeCell ref="O4:O5"/>
    <mergeCell ref="L4:L5"/>
    <mergeCell ref="M4:M5"/>
    <mergeCell ref="A40:B40"/>
    <mergeCell ref="H4:H5"/>
    <mergeCell ref="I4:I5"/>
    <mergeCell ref="J4:J5"/>
    <mergeCell ref="K4:K5"/>
  </mergeCells>
  <conditionalFormatting sqref="C6:N7">
    <cfRule type="expression" dxfId="11" priority="2">
      <formula>NOT(ISBLANK(C6))</formula>
    </cfRule>
  </conditionalFormatting>
  <conditionalFormatting sqref="C9:N39">
    <cfRule type="expression" dxfId="10" priority="1">
      <formula>NOT(ISBLANK(C9))</formula>
    </cfRule>
  </conditionalFormatting>
  <pageMargins left="0.25" right="0.25" top="0.75" bottom="0.75" header="0.3" footer="0.3"/>
  <pageSetup paperSize="9"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7686-DD78-4E60-BB69-1A5C223347F5}">
  <sheetPr>
    <tabColor rgb="FF7030A0"/>
    <pageSetUpPr fitToPage="1"/>
  </sheetPr>
  <dimension ref="A1:P41"/>
  <sheetViews>
    <sheetView zoomScale="85" zoomScaleNormal="85" workbookViewId="0">
      <pane ySplit="8" topLeftCell="A9" activePane="bottomLeft" state="frozen"/>
      <selection activeCell="H7" sqref="H7"/>
      <selection pane="bottomLeft" activeCell="A4" sqref="A4:A5"/>
    </sheetView>
  </sheetViews>
  <sheetFormatPr defaultColWidth="9.28515625" defaultRowHeight="12.75"/>
  <cols>
    <col min="1" max="1" width="47.28515625" style="35" customWidth="1"/>
    <col min="2" max="2" width="18.5703125" style="35" customWidth="1"/>
    <col min="3" max="14" width="10.7109375" style="35" customWidth="1"/>
    <col min="15" max="15" width="15.5703125" style="35" customWidth="1"/>
    <col min="16" max="16" width="82.28515625" style="35" customWidth="1"/>
    <col min="17" max="16384" width="9.28515625" style="35"/>
  </cols>
  <sheetData>
    <row r="1" spans="1:16" ht="28.5" customHeight="1">
      <c r="A1" s="421" t="s">
        <v>181</v>
      </c>
      <c r="B1" s="583" t="str">
        <f>'Set Up Details'!C2</f>
        <v>Test1</v>
      </c>
      <c r="C1" s="583"/>
      <c r="D1" s="583"/>
      <c r="E1" s="583"/>
      <c r="F1" s="583"/>
      <c r="G1" s="583"/>
      <c r="H1" s="583"/>
      <c r="I1" s="583"/>
      <c r="J1" s="583"/>
      <c r="K1" s="583"/>
      <c r="L1" s="583"/>
      <c r="M1" s="583"/>
      <c r="N1" s="583"/>
      <c r="O1" s="583"/>
      <c r="P1" s="177"/>
    </row>
    <row r="2" spans="1:16" ht="15.6" customHeight="1">
      <c r="A2" s="526" t="s">
        <v>216</v>
      </c>
      <c r="B2" s="526"/>
      <c r="C2" s="526"/>
      <c r="D2" s="526"/>
      <c r="E2" s="526"/>
      <c r="F2" s="526"/>
      <c r="G2" s="526"/>
      <c r="H2" s="526"/>
      <c r="I2" s="526"/>
      <c r="J2" s="526"/>
      <c r="K2" s="526"/>
      <c r="L2" s="526"/>
      <c r="M2" s="526"/>
      <c r="N2" s="526"/>
      <c r="O2" s="526"/>
      <c r="P2" s="666" t="s">
        <v>183</v>
      </c>
    </row>
    <row r="3" spans="1:16" ht="16.149999999999999" customHeight="1">
      <c r="A3" s="526"/>
      <c r="B3" s="526"/>
      <c r="C3" s="526"/>
      <c r="D3" s="526"/>
      <c r="E3" s="526"/>
      <c r="F3" s="526"/>
      <c r="G3" s="526"/>
      <c r="H3" s="526"/>
      <c r="I3" s="526"/>
      <c r="J3" s="526"/>
      <c r="K3" s="526"/>
      <c r="L3" s="526"/>
      <c r="M3" s="526"/>
      <c r="N3" s="526"/>
      <c r="O3" s="526"/>
      <c r="P3" s="666"/>
    </row>
    <row r="4" spans="1:16" ht="13.15" customHeight="1">
      <c r="A4" s="668" t="s">
        <v>184</v>
      </c>
      <c r="B4" s="488"/>
      <c r="C4" s="667" t="str">
        <f>'Personal Cash Flow Budget Y1'!B4</f>
        <v>Jan</v>
      </c>
      <c r="D4" s="667" t="str">
        <f>'Personal Cash Flow Budget Y1'!C4</f>
        <v>Feb</v>
      </c>
      <c r="E4" s="667" t="str">
        <f>'Personal Cash Flow Budget Y1'!D4</f>
        <v>Mar</v>
      </c>
      <c r="F4" s="667" t="str">
        <f>'Personal Cash Flow Budget Y1'!E4</f>
        <v>Apr</v>
      </c>
      <c r="G4" s="667" t="str">
        <f>'Personal Cash Flow Budget Y1'!F4</f>
        <v>May</v>
      </c>
      <c r="H4" s="667" t="str">
        <f>'Personal Cash Flow Budget Y1'!G4</f>
        <v>Jun</v>
      </c>
      <c r="I4" s="667" t="str">
        <f>'Personal Cash Flow Budget Y1'!H4</f>
        <v>Jul</v>
      </c>
      <c r="J4" s="667" t="str">
        <f>'Personal Cash Flow Budget Y1'!I4</f>
        <v>Aug</v>
      </c>
      <c r="K4" s="667" t="str">
        <f>'Personal Cash Flow Budget Y1'!J4</f>
        <v>Sep</v>
      </c>
      <c r="L4" s="667" t="str">
        <f>'Personal Cash Flow Budget Y1'!K4</f>
        <v>Oct</v>
      </c>
      <c r="M4" s="667" t="str">
        <f>'Personal Cash Flow Budget Y1'!L4</f>
        <v>Nov</v>
      </c>
      <c r="N4" s="667" t="str">
        <f>'Personal Cash Flow Budget Y1'!M4</f>
        <v>Dec</v>
      </c>
      <c r="O4" s="667" t="s">
        <v>60</v>
      </c>
      <c r="P4" s="666"/>
    </row>
    <row r="5" spans="1:16" ht="13.9" customHeight="1" thickBot="1">
      <c r="A5" s="668"/>
      <c r="B5" s="488"/>
      <c r="C5" s="667"/>
      <c r="D5" s="667"/>
      <c r="E5" s="667"/>
      <c r="F5" s="667"/>
      <c r="G5" s="667"/>
      <c r="H5" s="667"/>
      <c r="I5" s="667"/>
      <c r="J5" s="667"/>
      <c r="K5" s="667"/>
      <c r="L5" s="667"/>
      <c r="M5" s="667"/>
      <c r="N5" s="667"/>
      <c r="O5" s="667"/>
      <c r="P5" s="666"/>
    </row>
    <row r="6" spans="1:16" ht="18" customHeight="1" thickBot="1">
      <c r="A6" s="178" t="s">
        <v>185</v>
      </c>
      <c r="B6" s="179" t="s">
        <v>186</v>
      </c>
      <c r="C6" s="180">
        <v>400</v>
      </c>
      <c r="D6" s="180"/>
      <c r="E6" s="180"/>
      <c r="F6" s="180"/>
      <c r="G6" s="180"/>
      <c r="H6" s="180"/>
      <c r="I6" s="180">
        <v>400</v>
      </c>
      <c r="J6" s="180"/>
      <c r="K6" s="180"/>
      <c r="L6" s="180"/>
      <c r="M6" s="180"/>
      <c r="N6" s="180"/>
      <c r="O6" s="445">
        <f>SUM(C6:N6)</f>
        <v>800</v>
      </c>
      <c r="P6" s="666"/>
    </row>
    <row r="7" spans="1:16" ht="18" customHeight="1" thickBot="1">
      <c r="A7" s="181" t="s">
        <v>187</v>
      </c>
      <c r="B7" s="182" t="s">
        <v>186</v>
      </c>
      <c r="C7" s="183"/>
      <c r="D7" s="183">
        <v>0</v>
      </c>
      <c r="E7" s="183"/>
      <c r="F7" s="183">
        <v>0</v>
      </c>
      <c r="G7" s="183"/>
      <c r="H7" s="183">
        <v>0</v>
      </c>
      <c r="I7" s="183"/>
      <c r="J7" s="183">
        <v>0</v>
      </c>
      <c r="K7" s="183"/>
      <c r="L7" s="183">
        <v>0</v>
      </c>
      <c r="M7" s="183"/>
      <c r="N7" s="183">
        <v>0</v>
      </c>
      <c r="O7" s="445">
        <f>SUM(C7:N7)</f>
        <v>0</v>
      </c>
      <c r="P7" s="666"/>
    </row>
    <row r="8" spans="1:16" ht="9.6" customHeight="1" thickBot="1">
      <c r="A8" s="184"/>
      <c r="B8" s="185"/>
      <c r="C8" s="186"/>
      <c r="D8" s="187"/>
      <c r="E8" s="187"/>
      <c r="F8" s="187"/>
      <c r="G8" s="187"/>
      <c r="H8" s="187"/>
      <c r="I8" s="187"/>
      <c r="J8" s="187"/>
      <c r="K8" s="187"/>
      <c r="L8" s="187"/>
      <c r="M8" s="187"/>
      <c r="N8" s="188"/>
      <c r="O8" s="189"/>
      <c r="P8" s="190"/>
    </row>
    <row r="9" spans="1:16" ht="20.100000000000001" customHeight="1" thickBot="1">
      <c r="A9" s="489" t="s">
        <v>188</v>
      </c>
      <c r="B9" s="191" t="s">
        <v>186</v>
      </c>
      <c r="C9" s="478"/>
      <c r="D9" s="478"/>
      <c r="E9" s="478"/>
      <c r="F9" s="478"/>
      <c r="G9" s="478"/>
      <c r="H9" s="478"/>
      <c r="I9" s="478"/>
      <c r="J9" s="478"/>
      <c r="K9" s="478"/>
      <c r="L9" s="478"/>
      <c r="M9" s="478"/>
      <c r="N9" s="478"/>
      <c r="O9" s="445">
        <f t="shared" ref="O9:O39" si="0">SUM(C9:N9)</f>
        <v>0</v>
      </c>
      <c r="P9" s="443"/>
    </row>
    <row r="10" spans="1:16" ht="20.100000000000001" customHeight="1" thickBot="1">
      <c r="A10" s="489" t="s">
        <v>189</v>
      </c>
      <c r="B10" s="191" t="s">
        <v>186</v>
      </c>
      <c r="C10" s="478"/>
      <c r="D10" s="478"/>
      <c r="E10" s="478"/>
      <c r="F10" s="478"/>
      <c r="G10" s="478"/>
      <c r="H10" s="478"/>
      <c r="I10" s="478"/>
      <c r="J10" s="478"/>
      <c r="K10" s="478"/>
      <c r="L10" s="478"/>
      <c r="M10" s="478"/>
      <c r="N10" s="478"/>
      <c r="O10" s="445">
        <f t="shared" si="0"/>
        <v>0</v>
      </c>
      <c r="P10" s="443"/>
    </row>
    <row r="11" spans="1:16" ht="20.100000000000001" customHeight="1" thickBot="1">
      <c r="A11" s="489" t="s">
        <v>190</v>
      </c>
      <c r="B11" s="191" t="s">
        <v>186</v>
      </c>
      <c r="C11" s="478"/>
      <c r="D11" s="478"/>
      <c r="E11" s="478"/>
      <c r="F11" s="478"/>
      <c r="G11" s="478"/>
      <c r="H11" s="478"/>
      <c r="I11" s="478"/>
      <c r="J11" s="478"/>
      <c r="K11" s="478"/>
      <c r="L11" s="478"/>
      <c r="M11" s="478"/>
      <c r="N11" s="478"/>
      <c r="O11" s="445">
        <f t="shared" si="0"/>
        <v>0</v>
      </c>
      <c r="P11" s="443"/>
    </row>
    <row r="12" spans="1:16" ht="20.100000000000001" customHeight="1" thickBot="1">
      <c r="A12" s="489" t="s">
        <v>191</v>
      </c>
      <c r="B12" s="191" t="s">
        <v>186</v>
      </c>
      <c r="C12" s="478"/>
      <c r="D12" s="478"/>
      <c r="E12" s="478"/>
      <c r="F12" s="478"/>
      <c r="G12" s="478"/>
      <c r="H12" s="478"/>
      <c r="I12" s="478"/>
      <c r="J12" s="478"/>
      <c r="K12" s="478"/>
      <c r="L12" s="478"/>
      <c r="M12" s="478"/>
      <c r="N12" s="478"/>
      <c r="O12" s="445">
        <f t="shared" si="0"/>
        <v>0</v>
      </c>
      <c r="P12" s="443"/>
    </row>
    <row r="13" spans="1:16" ht="20.100000000000001" customHeight="1" thickBot="1">
      <c r="A13" s="489" t="s">
        <v>192</v>
      </c>
      <c r="B13" s="191" t="s">
        <v>186</v>
      </c>
      <c r="C13" s="478"/>
      <c r="D13" s="478"/>
      <c r="E13" s="478"/>
      <c r="F13" s="478"/>
      <c r="G13" s="478"/>
      <c r="H13" s="478"/>
      <c r="I13" s="478"/>
      <c r="J13" s="478"/>
      <c r="K13" s="478"/>
      <c r="L13" s="478"/>
      <c r="M13" s="478"/>
      <c r="N13" s="478"/>
      <c r="O13" s="445">
        <f t="shared" si="0"/>
        <v>0</v>
      </c>
      <c r="P13" s="443"/>
    </row>
    <row r="14" spans="1:16" ht="20.100000000000001" customHeight="1" thickBot="1">
      <c r="A14" s="489" t="s">
        <v>193</v>
      </c>
      <c r="B14" s="191" t="s">
        <v>186</v>
      </c>
      <c r="C14" s="478"/>
      <c r="D14" s="478"/>
      <c r="E14" s="478"/>
      <c r="F14" s="478"/>
      <c r="G14" s="478"/>
      <c r="H14" s="478"/>
      <c r="I14" s="478"/>
      <c r="J14" s="478"/>
      <c r="K14" s="478"/>
      <c r="L14" s="478"/>
      <c r="M14" s="478"/>
      <c r="N14" s="478"/>
      <c r="O14" s="445">
        <f t="shared" si="0"/>
        <v>0</v>
      </c>
      <c r="P14" s="443"/>
    </row>
    <row r="15" spans="1:16" ht="20.100000000000001" customHeight="1" thickBot="1">
      <c r="A15" s="489" t="s">
        <v>194</v>
      </c>
      <c r="B15" s="191" t="s">
        <v>186</v>
      </c>
      <c r="C15" s="478"/>
      <c r="D15" s="478"/>
      <c r="E15" s="478"/>
      <c r="F15" s="478"/>
      <c r="G15" s="478"/>
      <c r="H15" s="478"/>
      <c r="I15" s="478"/>
      <c r="J15" s="478"/>
      <c r="K15" s="478"/>
      <c r="L15" s="478"/>
      <c r="M15" s="478"/>
      <c r="N15" s="478"/>
      <c r="O15" s="445">
        <f t="shared" si="0"/>
        <v>0</v>
      </c>
      <c r="P15" s="443"/>
    </row>
    <row r="16" spans="1:16" ht="20.100000000000001" customHeight="1" thickBot="1">
      <c r="A16" s="489" t="s">
        <v>195</v>
      </c>
      <c r="B16" s="191" t="s">
        <v>186</v>
      </c>
      <c r="C16" s="478"/>
      <c r="D16" s="478"/>
      <c r="E16" s="478"/>
      <c r="F16" s="478"/>
      <c r="G16" s="478"/>
      <c r="H16" s="478"/>
      <c r="I16" s="478"/>
      <c r="J16" s="478"/>
      <c r="K16" s="478"/>
      <c r="L16" s="478"/>
      <c r="M16" s="478"/>
      <c r="N16" s="478"/>
      <c r="O16" s="445">
        <f t="shared" si="0"/>
        <v>0</v>
      </c>
      <c r="P16" s="443"/>
    </row>
    <row r="17" spans="1:16" ht="20.100000000000001" customHeight="1" thickBot="1">
      <c r="A17" s="489" t="s">
        <v>196</v>
      </c>
      <c r="B17" s="191" t="s">
        <v>186</v>
      </c>
      <c r="C17" s="478"/>
      <c r="D17" s="478"/>
      <c r="E17" s="478"/>
      <c r="F17" s="478"/>
      <c r="G17" s="478"/>
      <c r="H17" s="478"/>
      <c r="I17" s="478"/>
      <c r="J17" s="478"/>
      <c r="K17" s="478"/>
      <c r="L17" s="478"/>
      <c r="M17" s="478"/>
      <c r="N17" s="478"/>
      <c r="O17" s="445">
        <f t="shared" si="0"/>
        <v>0</v>
      </c>
      <c r="P17" s="443"/>
    </row>
    <row r="18" spans="1:16" ht="20.100000000000001" customHeight="1" thickBot="1">
      <c r="A18" s="489" t="s">
        <v>197</v>
      </c>
      <c r="B18" s="191" t="s">
        <v>186</v>
      </c>
      <c r="C18" s="478"/>
      <c r="D18" s="478"/>
      <c r="E18" s="478"/>
      <c r="F18" s="478"/>
      <c r="G18" s="478"/>
      <c r="H18" s="478"/>
      <c r="I18" s="478"/>
      <c r="J18" s="478"/>
      <c r="K18" s="478"/>
      <c r="L18" s="478"/>
      <c r="M18" s="478"/>
      <c r="N18" s="478"/>
      <c r="O18" s="445">
        <f t="shared" si="0"/>
        <v>0</v>
      </c>
      <c r="P18" s="443"/>
    </row>
    <row r="19" spans="1:16" ht="20.100000000000001" customHeight="1" thickBot="1">
      <c r="A19" s="489" t="s">
        <v>198</v>
      </c>
      <c r="B19" s="191" t="s">
        <v>186</v>
      </c>
      <c r="C19" s="478"/>
      <c r="D19" s="478"/>
      <c r="E19" s="478"/>
      <c r="F19" s="478"/>
      <c r="G19" s="478"/>
      <c r="H19" s="478"/>
      <c r="I19" s="478"/>
      <c r="J19" s="478"/>
      <c r="K19" s="478"/>
      <c r="L19" s="478"/>
      <c r="M19" s="478"/>
      <c r="N19" s="478"/>
      <c r="O19" s="445">
        <f t="shared" si="0"/>
        <v>0</v>
      </c>
      <c r="P19" s="443"/>
    </row>
    <row r="20" spans="1:16" ht="20.100000000000001" customHeight="1" thickBot="1">
      <c r="A20" s="489" t="s">
        <v>199</v>
      </c>
      <c r="B20" s="191" t="s">
        <v>186</v>
      </c>
      <c r="C20" s="478"/>
      <c r="D20" s="478"/>
      <c r="E20" s="478"/>
      <c r="F20" s="478"/>
      <c r="G20" s="478"/>
      <c r="H20" s="478"/>
      <c r="I20" s="478"/>
      <c r="J20" s="478"/>
      <c r="K20" s="478"/>
      <c r="L20" s="478"/>
      <c r="M20" s="478"/>
      <c r="N20" s="478"/>
      <c r="O20" s="445">
        <f t="shared" si="0"/>
        <v>0</v>
      </c>
      <c r="P20" s="443"/>
    </row>
    <row r="21" spans="1:16" ht="20.100000000000001" customHeight="1" thickBot="1">
      <c r="A21" s="489" t="s">
        <v>200</v>
      </c>
      <c r="B21" s="191" t="s">
        <v>186</v>
      </c>
      <c r="C21" s="478"/>
      <c r="D21" s="478"/>
      <c r="E21" s="478"/>
      <c r="F21" s="478"/>
      <c r="G21" s="478"/>
      <c r="H21" s="478"/>
      <c r="I21" s="478"/>
      <c r="J21" s="478"/>
      <c r="K21" s="478"/>
      <c r="L21" s="478"/>
      <c r="M21" s="478"/>
      <c r="N21" s="478"/>
      <c r="O21" s="445">
        <f t="shared" si="0"/>
        <v>0</v>
      </c>
      <c r="P21" s="443"/>
    </row>
    <row r="22" spans="1:16" ht="20.100000000000001" customHeight="1" thickBot="1">
      <c r="A22" s="489" t="s">
        <v>201</v>
      </c>
      <c r="B22" s="191" t="s">
        <v>186</v>
      </c>
      <c r="C22" s="478"/>
      <c r="D22" s="478"/>
      <c r="E22" s="478"/>
      <c r="F22" s="478"/>
      <c r="G22" s="478"/>
      <c r="H22" s="478"/>
      <c r="I22" s="478"/>
      <c r="J22" s="478"/>
      <c r="K22" s="478"/>
      <c r="L22" s="478"/>
      <c r="M22" s="478"/>
      <c r="N22" s="478"/>
      <c r="O22" s="445">
        <f t="shared" si="0"/>
        <v>0</v>
      </c>
      <c r="P22" s="443"/>
    </row>
    <row r="23" spans="1:16" ht="20.100000000000001" customHeight="1" thickBot="1">
      <c r="A23" s="489" t="s">
        <v>202</v>
      </c>
      <c r="B23" s="191" t="s">
        <v>186</v>
      </c>
      <c r="C23" s="478"/>
      <c r="D23" s="478"/>
      <c r="E23" s="478"/>
      <c r="F23" s="478"/>
      <c r="G23" s="478"/>
      <c r="H23" s="478"/>
      <c r="I23" s="478"/>
      <c r="J23" s="478"/>
      <c r="K23" s="478"/>
      <c r="L23" s="478"/>
      <c r="M23" s="478"/>
      <c r="N23" s="478"/>
      <c r="O23" s="445">
        <f t="shared" si="0"/>
        <v>0</v>
      </c>
      <c r="P23" s="443"/>
    </row>
    <row r="24" spans="1:16" ht="20.100000000000001" customHeight="1" thickBot="1">
      <c r="A24" s="489" t="s">
        <v>203</v>
      </c>
      <c r="B24" s="191" t="s">
        <v>186</v>
      </c>
      <c r="C24" s="478"/>
      <c r="D24" s="478"/>
      <c r="E24" s="478"/>
      <c r="F24" s="478"/>
      <c r="G24" s="478"/>
      <c r="H24" s="478"/>
      <c r="I24" s="478"/>
      <c r="J24" s="478"/>
      <c r="K24" s="478"/>
      <c r="L24" s="478"/>
      <c r="M24" s="478"/>
      <c r="N24" s="478"/>
      <c r="O24" s="445">
        <f t="shared" si="0"/>
        <v>0</v>
      </c>
      <c r="P24" s="443"/>
    </row>
    <row r="25" spans="1:16" ht="20.100000000000001" customHeight="1" thickBot="1">
      <c r="A25" s="489" t="s">
        <v>204</v>
      </c>
      <c r="B25" s="191" t="s">
        <v>186</v>
      </c>
      <c r="C25" s="478"/>
      <c r="D25" s="478"/>
      <c r="E25" s="478"/>
      <c r="F25" s="478"/>
      <c r="G25" s="478"/>
      <c r="H25" s="478"/>
      <c r="I25" s="478"/>
      <c r="J25" s="478"/>
      <c r="K25" s="478"/>
      <c r="L25" s="478"/>
      <c r="M25" s="478"/>
      <c r="N25" s="478"/>
      <c r="O25" s="445">
        <f t="shared" si="0"/>
        <v>0</v>
      </c>
      <c r="P25" s="443"/>
    </row>
    <row r="26" spans="1:16" ht="20.100000000000001" customHeight="1" thickBot="1">
      <c r="A26" s="489" t="s">
        <v>205</v>
      </c>
      <c r="B26" s="191" t="s">
        <v>186</v>
      </c>
      <c r="C26" s="478"/>
      <c r="D26" s="478"/>
      <c r="E26" s="478"/>
      <c r="F26" s="478"/>
      <c r="G26" s="478"/>
      <c r="H26" s="478"/>
      <c r="I26" s="478"/>
      <c r="J26" s="478"/>
      <c r="K26" s="478"/>
      <c r="L26" s="478"/>
      <c r="M26" s="478"/>
      <c r="N26" s="478"/>
      <c r="O26" s="445">
        <f t="shared" si="0"/>
        <v>0</v>
      </c>
      <c r="P26" s="443"/>
    </row>
    <row r="27" spans="1:16" ht="20.100000000000001" customHeight="1" thickBot="1">
      <c r="A27" s="489" t="s">
        <v>206</v>
      </c>
      <c r="B27" s="191" t="s">
        <v>186</v>
      </c>
      <c r="C27" s="478"/>
      <c r="D27" s="478"/>
      <c r="E27" s="478"/>
      <c r="F27" s="478"/>
      <c r="G27" s="478"/>
      <c r="H27" s="478"/>
      <c r="I27" s="478"/>
      <c r="J27" s="478"/>
      <c r="K27" s="478"/>
      <c r="L27" s="478"/>
      <c r="M27" s="478"/>
      <c r="N27" s="478"/>
      <c r="O27" s="445">
        <f t="shared" si="0"/>
        <v>0</v>
      </c>
      <c r="P27" s="443"/>
    </row>
    <row r="28" spans="1:16" ht="20.100000000000001" customHeight="1" thickBot="1">
      <c r="A28" s="489" t="s">
        <v>207</v>
      </c>
      <c r="B28" s="191" t="s">
        <v>186</v>
      </c>
      <c r="C28" s="478"/>
      <c r="D28" s="478"/>
      <c r="E28" s="478"/>
      <c r="F28" s="478"/>
      <c r="G28" s="478"/>
      <c r="H28" s="478"/>
      <c r="I28" s="478"/>
      <c r="J28" s="478"/>
      <c r="K28" s="478"/>
      <c r="L28" s="478"/>
      <c r="M28" s="478"/>
      <c r="N28" s="478"/>
      <c r="O28" s="445">
        <f t="shared" si="0"/>
        <v>0</v>
      </c>
      <c r="P28" s="443"/>
    </row>
    <row r="29" spans="1:16" ht="20.100000000000001" customHeight="1" thickBot="1">
      <c r="A29" s="489" t="s">
        <v>208</v>
      </c>
      <c r="B29" s="191" t="s">
        <v>186</v>
      </c>
      <c r="C29" s="478"/>
      <c r="D29" s="478"/>
      <c r="E29" s="478"/>
      <c r="F29" s="478"/>
      <c r="G29" s="478"/>
      <c r="H29" s="478"/>
      <c r="I29" s="478"/>
      <c r="J29" s="478"/>
      <c r="K29" s="478"/>
      <c r="L29" s="478"/>
      <c r="M29" s="478"/>
      <c r="N29" s="478"/>
      <c r="O29" s="445">
        <f t="shared" si="0"/>
        <v>0</v>
      </c>
      <c r="P29" s="443"/>
    </row>
    <row r="30" spans="1:16" ht="20.100000000000001" customHeight="1" thickBot="1">
      <c r="A30" s="489" t="s">
        <v>208</v>
      </c>
      <c r="B30" s="191" t="s">
        <v>186</v>
      </c>
      <c r="C30" s="478"/>
      <c r="D30" s="478"/>
      <c r="E30" s="478"/>
      <c r="F30" s="478"/>
      <c r="G30" s="478"/>
      <c r="H30" s="478"/>
      <c r="I30" s="478"/>
      <c r="J30" s="478"/>
      <c r="K30" s="478"/>
      <c r="L30" s="478"/>
      <c r="M30" s="478"/>
      <c r="N30" s="478"/>
      <c r="O30" s="445">
        <f t="shared" si="0"/>
        <v>0</v>
      </c>
      <c r="P30" s="443"/>
    </row>
    <row r="31" spans="1:16" ht="20.100000000000001" customHeight="1" thickBot="1">
      <c r="A31" s="489" t="s">
        <v>209</v>
      </c>
      <c r="B31" s="191" t="s">
        <v>186</v>
      </c>
      <c r="C31" s="478"/>
      <c r="D31" s="478"/>
      <c r="E31" s="478"/>
      <c r="F31" s="478"/>
      <c r="G31" s="478"/>
      <c r="H31" s="478"/>
      <c r="I31" s="478"/>
      <c r="J31" s="478"/>
      <c r="K31" s="478"/>
      <c r="L31" s="478"/>
      <c r="M31" s="478"/>
      <c r="N31" s="478"/>
      <c r="O31" s="445">
        <f t="shared" si="0"/>
        <v>0</v>
      </c>
      <c r="P31" s="443"/>
    </row>
    <row r="32" spans="1:16" ht="20.100000000000001" customHeight="1" thickBot="1">
      <c r="A32" s="489" t="s">
        <v>210</v>
      </c>
      <c r="B32" s="191" t="s">
        <v>186</v>
      </c>
      <c r="C32" s="478"/>
      <c r="D32" s="478"/>
      <c r="E32" s="478"/>
      <c r="F32" s="478"/>
      <c r="G32" s="478"/>
      <c r="H32" s="478"/>
      <c r="I32" s="478"/>
      <c r="J32" s="478"/>
      <c r="K32" s="478"/>
      <c r="L32" s="478"/>
      <c r="M32" s="478"/>
      <c r="N32" s="478"/>
      <c r="O32" s="445">
        <f t="shared" si="0"/>
        <v>0</v>
      </c>
      <c r="P32" s="443"/>
    </row>
    <row r="33" spans="1:16" ht="20.100000000000001" customHeight="1" thickBot="1">
      <c r="A33" s="489" t="s">
        <v>211</v>
      </c>
      <c r="B33" s="191" t="s">
        <v>186</v>
      </c>
      <c r="C33" s="478"/>
      <c r="D33" s="478"/>
      <c r="E33" s="478"/>
      <c r="F33" s="478"/>
      <c r="G33" s="478"/>
      <c r="H33" s="478"/>
      <c r="I33" s="478"/>
      <c r="J33" s="478"/>
      <c r="K33" s="478"/>
      <c r="L33" s="478"/>
      <c r="M33" s="478"/>
      <c r="N33" s="478"/>
      <c r="O33" s="445">
        <f t="shared" si="0"/>
        <v>0</v>
      </c>
      <c r="P33" s="443"/>
    </row>
    <row r="34" spans="1:16" ht="20.100000000000001" customHeight="1" thickBot="1">
      <c r="A34" s="489" t="s">
        <v>212</v>
      </c>
      <c r="B34" s="191" t="s">
        <v>186</v>
      </c>
      <c r="C34" s="478"/>
      <c r="D34" s="478"/>
      <c r="E34" s="478"/>
      <c r="F34" s="478"/>
      <c r="G34" s="478"/>
      <c r="H34" s="478"/>
      <c r="I34" s="478"/>
      <c r="J34" s="478"/>
      <c r="K34" s="478"/>
      <c r="L34" s="478"/>
      <c r="M34" s="478"/>
      <c r="N34" s="478"/>
      <c r="O34" s="445">
        <f t="shared" si="0"/>
        <v>0</v>
      </c>
      <c r="P34" s="443"/>
    </row>
    <row r="35" spans="1:16" ht="20.100000000000001" customHeight="1" thickBot="1">
      <c r="A35" s="489" t="s">
        <v>213</v>
      </c>
      <c r="B35" s="191" t="s">
        <v>186</v>
      </c>
      <c r="C35" s="478"/>
      <c r="D35" s="478"/>
      <c r="E35" s="478"/>
      <c r="F35" s="478"/>
      <c r="G35" s="478"/>
      <c r="H35" s="478"/>
      <c r="I35" s="478"/>
      <c r="J35" s="478"/>
      <c r="K35" s="478"/>
      <c r="L35" s="478"/>
      <c r="M35" s="478"/>
      <c r="N35" s="478"/>
      <c r="O35" s="445">
        <f t="shared" si="0"/>
        <v>0</v>
      </c>
      <c r="P35" s="443"/>
    </row>
    <row r="36" spans="1:16" ht="20.100000000000001" customHeight="1" thickBot="1">
      <c r="A36" s="489" t="s">
        <v>214</v>
      </c>
      <c r="B36" s="191" t="s">
        <v>186</v>
      </c>
      <c r="C36" s="478"/>
      <c r="D36" s="478"/>
      <c r="E36" s="478"/>
      <c r="F36" s="478"/>
      <c r="G36" s="478"/>
      <c r="H36" s="478"/>
      <c r="I36" s="478"/>
      <c r="J36" s="478"/>
      <c r="K36" s="478"/>
      <c r="L36" s="478"/>
      <c r="M36" s="478"/>
      <c r="N36" s="478"/>
      <c r="O36" s="445">
        <f t="shared" si="0"/>
        <v>0</v>
      </c>
      <c r="P36" s="443"/>
    </row>
    <row r="37" spans="1:16" ht="20.100000000000001" customHeight="1" thickBot="1">
      <c r="A37" s="489"/>
      <c r="B37" s="191" t="s">
        <v>186</v>
      </c>
      <c r="C37" s="478"/>
      <c r="D37" s="478"/>
      <c r="E37" s="478"/>
      <c r="F37" s="478"/>
      <c r="G37" s="478"/>
      <c r="H37" s="478"/>
      <c r="I37" s="478"/>
      <c r="J37" s="478"/>
      <c r="K37" s="478"/>
      <c r="L37" s="478"/>
      <c r="M37" s="478"/>
      <c r="N37" s="478"/>
      <c r="O37" s="445">
        <f t="shared" si="0"/>
        <v>0</v>
      </c>
      <c r="P37" s="443"/>
    </row>
    <row r="38" spans="1:16" ht="20.100000000000001" customHeight="1" thickBot="1">
      <c r="A38" s="489"/>
      <c r="B38" s="191" t="s">
        <v>186</v>
      </c>
      <c r="C38" s="478"/>
      <c r="D38" s="478"/>
      <c r="E38" s="478"/>
      <c r="F38" s="478"/>
      <c r="G38" s="478"/>
      <c r="H38" s="478"/>
      <c r="I38" s="478"/>
      <c r="J38" s="478"/>
      <c r="K38" s="478"/>
      <c r="L38" s="478"/>
      <c r="M38" s="478"/>
      <c r="N38" s="478"/>
      <c r="O38" s="445">
        <f t="shared" si="0"/>
        <v>0</v>
      </c>
      <c r="P38" s="443"/>
    </row>
    <row r="39" spans="1:16" ht="20.100000000000001" customHeight="1" thickBot="1">
      <c r="A39" s="489"/>
      <c r="B39" s="191" t="s">
        <v>186</v>
      </c>
      <c r="C39" s="478"/>
      <c r="D39" s="478"/>
      <c r="E39" s="478"/>
      <c r="F39" s="478"/>
      <c r="G39" s="478"/>
      <c r="H39" s="478"/>
      <c r="I39" s="478"/>
      <c r="J39" s="478"/>
      <c r="K39" s="478"/>
      <c r="L39" s="478"/>
      <c r="M39" s="478"/>
      <c r="N39" s="478"/>
      <c r="O39" s="445">
        <f t="shared" si="0"/>
        <v>0</v>
      </c>
      <c r="P39" s="443"/>
    </row>
    <row r="40" spans="1:16" ht="29.65" customHeight="1" thickBot="1">
      <c r="A40" s="666" t="s">
        <v>215</v>
      </c>
      <c r="B40" s="666"/>
      <c r="C40" s="445">
        <f t="shared" ref="C40:N40" si="1">ROUND((C9+C10+C11+C12+C13+C14+C15+C16+C17+C18+C19+C20+C21+C22+C23+C24+C25+C26+C27+C28+C29+C30+C31+C32+C33+C34+C35+C36+C37+C38+C39),0)</f>
        <v>0</v>
      </c>
      <c r="D40" s="445">
        <f t="shared" si="1"/>
        <v>0</v>
      </c>
      <c r="E40" s="445">
        <f t="shared" si="1"/>
        <v>0</v>
      </c>
      <c r="F40" s="445">
        <f t="shared" si="1"/>
        <v>0</v>
      </c>
      <c r="G40" s="445">
        <f t="shared" si="1"/>
        <v>0</v>
      </c>
      <c r="H40" s="445">
        <f t="shared" si="1"/>
        <v>0</v>
      </c>
      <c r="I40" s="445">
        <f t="shared" si="1"/>
        <v>0</v>
      </c>
      <c r="J40" s="445">
        <f t="shared" si="1"/>
        <v>0</v>
      </c>
      <c r="K40" s="445">
        <f t="shared" si="1"/>
        <v>0</v>
      </c>
      <c r="L40" s="445">
        <f t="shared" si="1"/>
        <v>0</v>
      </c>
      <c r="M40" s="445">
        <f t="shared" si="1"/>
        <v>0</v>
      </c>
      <c r="N40" s="445">
        <f t="shared" si="1"/>
        <v>0</v>
      </c>
      <c r="O40" s="445">
        <f>SUM(O9:O39)</f>
        <v>0</v>
      </c>
      <c r="P40" s="192"/>
    </row>
    <row r="41" spans="1:16" ht="15" customHeight="1"/>
  </sheetData>
  <sheetProtection formatCells="0"/>
  <mergeCells count="18">
    <mergeCell ref="A40:B40"/>
    <mergeCell ref="I4:I5"/>
    <mergeCell ref="J4:J5"/>
    <mergeCell ref="K4:K5"/>
    <mergeCell ref="L4:L5"/>
    <mergeCell ref="B1:O1"/>
    <mergeCell ref="A2:O3"/>
    <mergeCell ref="P2:P7"/>
    <mergeCell ref="A4:A5"/>
    <mergeCell ref="C4:C5"/>
    <mergeCell ref="D4:D5"/>
    <mergeCell ref="E4:E5"/>
    <mergeCell ref="F4:F5"/>
    <mergeCell ref="G4:G5"/>
    <mergeCell ref="H4:H5"/>
    <mergeCell ref="O4:O5"/>
    <mergeCell ref="M4:M5"/>
    <mergeCell ref="N4:N5"/>
  </mergeCells>
  <conditionalFormatting sqref="C6:N7">
    <cfRule type="expression" dxfId="9" priority="2">
      <formula>NOT(ISBLANK(C6))</formula>
    </cfRule>
  </conditionalFormatting>
  <conditionalFormatting sqref="C9:N39">
    <cfRule type="expression" dxfId="8" priority="1">
      <formula>NOT(ISBLANK(C9))</formula>
    </cfRule>
  </conditionalFormatting>
  <pageMargins left="0.25" right="0.25" top="0.75" bottom="0.75" header="0.3" footer="0.3"/>
  <pageSetup paperSize="9"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AA7ED-3530-42D3-AE7E-CE2F1039EAD0}">
  <sheetPr>
    <tabColor rgb="FF7030A0"/>
    <pageSetUpPr fitToPage="1"/>
  </sheetPr>
  <dimension ref="A1:P41"/>
  <sheetViews>
    <sheetView zoomScale="85" zoomScaleNormal="85" workbookViewId="0">
      <pane ySplit="8" topLeftCell="A12" activePane="bottomLeft" state="frozen"/>
      <selection activeCell="H7" sqref="H7"/>
      <selection pane="bottomLeft" activeCell="A4" sqref="A4:A5"/>
    </sheetView>
  </sheetViews>
  <sheetFormatPr defaultColWidth="9.28515625" defaultRowHeight="12.75"/>
  <cols>
    <col min="1" max="1" width="47.28515625" style="35" customWidth="1"/>
    <col min="2" max="2" width="18.5703125" style="35" customWidth="1"/>
    <col min="3" max="14" width="10.7109375" style="35" customWidth="1"/>
    <col min="15" max="15" width="15.5703125" style="35" customWidth="1"/>
    <col min="16" max="16" width="82.28515625" style="35" customWidth="1"/>
    <col min="17" max="16384" width="9.28515625" style="35"/>
  </cols>
  <sheetData>
    <row r="1" spans="1:16" ht="28.5" customHeight="1">
      <c r="A1" s="421" t="s">
        <v>181</v>
      </c>
      <c r="B1" s="583" t="str">
        <f>'Set Up Details'!C2</f>
        <v>Test1</v>
      </c>
      <c r="C1" s="583"/>
      <c r="D1" s="583"/>
      <c r="E1" s="583"/>
      <c r="F1" s="583"/>
      <c r="G1" s="583"/>
      <c r="H1" s="583"/>
      <c r="I1" s="583"/>
      <c r="J1" s="583"/>
      <c r="K1" s="583"/>
      <c r="L1" s="583"/>
      <c r="M1" s="583"/>
      <c r="N1" s="583"/>
      <c r="O1" s="583"/>
      <c r="P1" s="177"/>
    </row>
    <row r="2" spans="1:16" ht="15.6" customHeight="1">
      <c r="A2" s="526" t="s">
        <v>477</v>
      </c>
      <c r="B2" s="526"/>
      <c r="C2" s="526"/>
      <c r="D2" s="526"/>
      <c r="E2" s="526"/>
      <c r="F2" s="526"/>
      <c r="G2" s="526"/>
      <c r="H2" s="526"/>
      <c r="I2" s="526"/>
      <c r="J2" s="526"/>
      <c r="K2" s="526"/>
      <c r="L2" s="526"/>
      <c r="M2" s="526"/>
      <c r="N2" s="526"/>
      <c r="O2" s="526"/>
      <c r="P2" s="666" t="s">
        <v>183</v>
      </c>
    </row>
    <row r="3" spans="1:16" ht="16.149999999999999" customHeight="1">
      <c r="A3" s="526"/>
      <c r="B3" s="526"/>
      <c r="C3" s="526"/>
      <c r="D3" s="526"/>
      <c r="E3" s="526"/>
      <c r="F3" s="526"/>
      <c r="G3" s="526"/>
      <c r="H3" s="526"/>
      <c r="I3" s="526"/>
      <c r="J3" s="526"/>
      <c r="K3" s="526"/>
      <c r="L3" s="526"/>
      <c r="M3" s="526"/>
      <c r="N3" s="526"/>
      <c r="O3" s="526"/>
      <c r="P3" s="666"/>
    </row>
    <row r="4" spans="1:16" ht="13.15" customHeight="1">
      <c r="A4" s="668" t="s">
        <v>184</v>
      </c>
      <c r="B4" s="488"/>
      <c r="C4" s="667" t="str">
        <f>'Personal Cash Flow Budget Y1'!B4</f>
        <v>Jan</v>
      </c>
      <c r="D4" s="667" t="str">
        <f>'Personal Cash Flow Budget Y1'!C4</f>
        <v>Feb</v>
      </c>
      <c r="E4" s="667" t="str">
        <f>'Personal Cash Flow Budget Y1'!D4</f>
        <v>Mar</v>
      </c>
      <c r="F4" s="667" t="str">
        <f>'Personal Cash Flow Budget Y1'!E4</f>
        <v>Apr</v>
      </c>
      <c r="G4" s="667" t="str">
        <f>'Personal Cash Flow Budget Y1'!F4</f>
        <v>May</v>
      </c>
      <c r="H4" s="667" t="str">
        <f>'Personal Cash Flow Budget Y1'!G4</f>
        <v>Jun</v>
      </c>
      <c r="I4" s="667" t="str">
        <f>'Personal Cash Flow Budget Y1'!H4</f>
        <v>Jul</v>
      </c>
      <c r="J4" s="667" t="str">
        <f>'Personal Cash Flow Budget Y1'!I4</f>
        <v>Aug</v>
      </c>
      <c r="K4" s="667" t="str">
        <f>'Personal Cash Flow Budget Y1'!J4</f>
        <v>Sep</v>
      </c>
      <c r="L4" s="667" t="str">
        <f>'Personal Cash Flow Budget Y1'!K4</f>
        <v>Oct</v>
      </c>
      <c r="M4" s="667" t="str">
        <f>'Personal Cash Flow Budget Y1'!L4</f>
        <v>Nov</v>
      </c>
      <c r="N4" s="667" t="str">
        <f>'Personal Cash Flow Budget Y1'!M4</f>
        <v>Dec</v>
      </c>
      <c r="O4" s="667" t="s">
        <v>60</v>
      </c>
      <c r="P4" s="666"/>
    </row>
    <row r="5" spans="1:16" ht="13.9" customHeight="1" thickBot="1">
      <c r="A5" s="668"/>
      <c r="B5" s="488"/>
      <c r="C5" s="667"/>
      <c r="D5" s="667"/>
      <c r="E5" s="667"/>
      <c r="F5" s="667"/>
      <c r="G5" s="667"/>
      <c r="H5" s="667"/>
      <c r="I5" s="667"/>
      <c r="J5" s="667"/>
      <c r="K5" s="667"/>
      <c r="L5" s="667"/>
      <c r="M5" s="667"/>
      <c r="N5" s="667"/>
      <c r="O5" s="667"/>
      <c r="P5" s="666"/>
    </row>
    <row r="6" spans="1:16" ht="18" customHeight="1" thickBot="1">
      <c r="A6" s="178" t="s">
        <v>185</v>
      </c>
      <c r="B6" s="179" t="s">
        <v>186</v>
      </c>
      <c r="C6" s="180">
        <v>400</v>
      </c>
      <c r="D6" s="180"/>
      <c r="E6" s="180"/>
      <c r="F6" s="180"/>
      <c r="G6" s="180"/>
      <c r="H6" s="180"/>
      <c r="I6" s="180">
        <v>400</v>
      </c>
      <c r="J6" s="180"/>
      <c r="K6" s="180"/>
      <c r="L6" s="180"/>
      <c r="M6" s="180"/>
      <c r="N6" s="180"/>
      <c r="O6" s="445">
        <f>SUM(C6:N6)</f>
        <v>800</v>
      </c>
      <c r="P6" s="666"/>
    </row>
    <row r="7" spans="1:16" ht="18" customHeight="1" thickBot="1">
      <c r="A7" s="181" t="s">
        <v>187</v>
      </c>
      <c r="B7" s="182" t="s">
        <v>186</v>
      </c>
      <c r="C7" s="183"/>
      <c r="D7" s="183">
        <v>0</v>
      </c>
      <c r="E7" s="183"/>
      <c r="F7" s="183">
        <v>0</v>
      </c>
      <c r="G7" s="183"/>
      <c r="H7" s="183">
        <v>0</v>
      </c>
      <c r="I7" s="183"/>
      <c r="J7" s="183">
        <v>0</v>
      </c>
      <c r="K7" s="183"/>
      <c r="L7" s="183">
        <v>0</v>
      </c>
      <c r="M7" s="183"/>
      <c r="N7" s="183">
        <v>0</v>
      </c>
      <c r="O7" s="445">
        <f>SUM(C7:N7)</f>
        <v>0</v>
      </c>
      <c r="P7" s="666"/>
    </row>
    <row r="8" spans="1:16" ht="9.6" customHeight="1" thickBot="1">
      <c r="A8" s="184"/>
      <c r="B8" s="185"/>
      <c r="C8" s="186"/>
      <c r="D8" s="187"/>
      <c r="E8" s="187"/>
      <c r="F8" s="187"/>
      <c r="G8" s="187"/>
      <c r="H8" s="187"/>
      <c r="I8" s="187"/>
      <c r="J8" s="187"/>
      <c r="K8" s="187"/>
      <c r="L8" s="187"/>
      <c r="M8" s="187"/>
      <c r="N8" s="188"/>
      <c r="O8" s="189"/>
      <c r="P8" s="190"/>
    </row>
    <row r="9" spans="1:16" ht="20.100000000000001" customHeight="1" thickBot="1">
      <c r="A9" s="489" t="s">
        <v>188</v>
      </c>
      <c r="B9" s="191" t="s">
        <v>186</v>
      </c>
      <c r="C9" s="478"/>
      <c r="D9" s="478"/>
      <c r="E9" s="478"/>
      <c r="F9" s="478"/>
      <c r="G9" s="478"/>
      <c r="H9" s="478"/>
      <c r="I9" s="478"/>
      <c r="J9" s="478"/>
      <c r="K9" s="478"/>
      <c r="L9" s="478"/>
      <c r="M9" s="478"/>
      <c r="N9" s="478"/>
      <c r="O9" s="445">
        <f t="shared" ref="O9:O39" si="0">SUM(C9:N9)</f>
        <v>0</v>
      </c>
      <c r="P9" s="443"/>
    </row>
    <row r="10" spans="1:16" ht="20.100000000000001" customHeight="1" thickBot="1">
      <c r="A10" s="489" t="s">
        <v>189</v>
      </c>
      <c r="B10" s="191" t="s">
        <v>186</v>
      </c>
      <c r="C10" s="478"/>
      <c r="D10" s="478"/>
      <c r="E10" s="478"/>
      <c r="F10" s="478"/>
      <c r="G10" s="478"/>
      <c r="H10" s="478"/>
      <c r="I10" s="478"/>
      <c r="J10" s="478"/>
      <c r="K10" s="478"/>
      <c r="L10" s="478"/>
      <c r="M10" s="478"/>
      <c r="N10" s="478"/>
      <c r="O10" s="445">
        <f t="shared" si="0"/>
        <v>0</v>
      </c>
      <c r="P10" s="443"/>
    </row>
    <row r="11" spans="1:16" ht="20.100000000000001" customHeight="1" thickBot="1">
      <c r="A11" s="489" t="s">
        <v>190</v>
      </c>
      <c r="B11" s="191" t="s">
        <v>186</v>
      </c>
      <c r="C11" s="478"/>
      <c r="D11" s="478"/>
      <c r="E11" s="478"/>
      <c r="F11" s="478"/>
      <c r="G11" s="478"/>
      <c r="H11" s="478"/>
      <c r="I11" s="478"/>
      <c r="J11" s="478"/>
      <c r="K11" s="478"/>
      <c r="L11" s="478"/>
      <c r="M11" s="478"/>
      <c r="N11" s="478"/>
      <c r="O11" s="445">
        <f t="shared" si="0"/>
        <v>0</v>
      </c>
      <c r="P11" s="443"/>
    </row>
    <row r="12" spans="1:16" ht="20.100000000000001" customHeight="1" thickBot="1">
      <c r="A12" s="489" t="s">
        <v>191</v>
      </c>
      <c r="B12" s="191" t="s">
        <v>186</v>
      </c>
      <c r="C12" s="478"/>
      <c r="D12" s="478"/>
      <c r="E12" s="478"/>
      <c r="F12" s="478"/>
      <c r="G12" s="478"/>
      <c r="H12" s="478"/>
      <c r="I12" s="478"/>
      <c r="J12" s="478"/>
      <c r="K12" s="478"/>
      <c r="L12" s="478"/>
      <c r="M12" s="478"/>
      <c r="N12" s="478"/>
      <c r="O12" s="445">
        <f t="shared" si="0"/>
        <v>0</v>
      </c>
      <c r="P12" s="443"/>
    </row>
    <row r="13" spans="1:16" ht="20.100000000000001" customHeight="1" thickBot="1">
      <c r="A13" s="489" t="s">
        <v>192</v>
      </c>
      <c r="B13" s="191" t="s">
        <v>186</v>
      </c>
      <c r="C13" s="478"/>
      <c r="D13" s="478"/>
      <c r="E13" s="478"/>
      <c r="F13" s="478"/>
      <c r="G13" s="478"/>
      <c r="H13" s="478"/>
      <c r="I13" s="478"/>
      <c r="J13" s="478"/>
      <c r="K13" s="478"/>
      <c r="L13" s="478"/>
      <c r="M13" s="478"/>
      <c r="N13" s="478"/>
      <c r="O13" s="445">
        <f t="shared" si="0"/>
        <v>0</v>
      </c>
      <c r="P13" s="443"/>
    </row>
    <row r="14" spans="1:16" ht="20.100000000000001" customHeight="1" thickBot="1">
      <c r="A14" s="489" t="s">
        <v>193</v>
      </c>
      <c r="B14" s="191" t="s">
        <v>186</v>
      </c>
      <c r="C14" s="478"/>
      <c r="D14" s="478"/>
      <c r="E14" s="478"/>
      <c r="F14" s="478"/>
      <c r="G14" s="478"/>
      <c r="H14" s="478"/>
      <c r="I14" s="478"/>
      <c r="J14" s="478"/>
      <c r="K14" s="478"/>
      <c r="L14" s="478"/>
      <c r="M14" s="478"/>
      <c r="N14" s="478"/>
      <c r="O14" s="445">
        <f t="shared" si="0"/>
        <v>0</v>
      </c>
      <c r="P14" s="443"/>
    </row>
    <row r="15" spans="1:16" ht="20.100000000000001" customHeight="1" thickBot="1">
      <c r="A15" s="489" t="s">
        <v>194</v>
      </c>
      <c r="B15" s="191" t="s">
        <v>186</v>
      </c>
      <c r="C15" s="478"/>
      <c r="D15" s="478"/>
      <c r="E15" s="478"/>
      <c r="F15" s="478"/>
      <c r="G15" s="478"/>
      <c r="H15" s="478"/>
      <c r="I15" s="478"/>
      <c r="J15" s="478"/>
      <c r="K15" s="478"/>
      <c r="L15" s="478"/>
      <c r="M15" s="478"/>
      <c r="N15" s="478"/>
      <c r="O15" s="445">
        <f t="shared" si="0"/>
        <v>0</v>
      </c>
      <c r="P15" s="443"/>
    </row>
    <row r="16" spans="1:16" ht="20.100000000000001" customHeight="1" thickBot="1">
      <c r="A16" s="489" t="s">
        <v>195</v>
      </c>
      <c r="B16" s="191" t="s">
        <v>186</v>
      </c>
      <c r="C16" s="478"/>
      <c r="D16" s="478"/>
      <c r="E16" s="478"/>
      <c r="F16" s="478"/>
      <c r="G16" s="478"/>
      <c r="H16" s="478"/>
      <c r="I16" s="478"/>
      <c r="J16" s="478"/>
      <c r="K16" s="478"/>
      <c r="L16" s="478"/>
      <c r="M16" s="478"/>
      <c r="N16" s="478"/>
      <c r="O16" s="445">
        <f t="shared" si="0"/>
        <v>0</v>
      </c>
      <c r="P16" s="443"/>
    </row>
    <row r="17" spans="1:16" ht="20.100000000000001" customHeight="1" thickBot="1">
      <c r="A17" s="489" t="s">
        <v>196</v>
      </c>
      <c r="B17" s="191" t="s">
        <v>186</v>
      </c>
      <c r="C17" s="478"/>
      <c r="D17" s="478"/>
      <c r="E17" s="478"/>
      <c r="F17" s="478"/>
      <c r="G17" s="478"/>
      <c r="H17" s="478"/>
      <c r="I17" s="478"/>
      <c r="J17" s="478"/>
      <c r="K17" s="478"/>
      <c r="L17" s="478"/>
      <c r="M17" s="478"/>
      <c r="N17" s="478"/>
      <c r="O17" s="445">
        <f t="shared" si="0"/>
        <v>0</v>
      </c>
      <c r="P17" s="443"/>
    </row>
    <row r="18" spans="1:16" ht="20.100000000000001" customHeight="1" thickBot="1">
      <c r="A18" s="489" t="s">
        <v>197</v>
      </c>
      <c r="B18" s="191" t="s">
        <v>186</v>
      </c>
      <c r="C18" s="478"/>
      <c r="D18" s="478"/>
      <c r="E18" s="478"/>
      <c r="F18" s="478"/>
      <c r="G18" s="478"/>
      <c r="H18" s="478"/>
      <c r="I18" s="478"/>
      <c r="J18" s="478"/>
      <c r="K18" s="478"/>
      <c r="L18" s="478"/>
      <c r="M18" s="478"/>
      <c r="N18" s="478"/>
      <c r="O18" s="445">
        <f t="shared" si="0"/>
        <v>0</v>
      </c>
      <c r="P18" s="443"/>
    </row>
    <row r="19" spans="1:16" ht="20.100000000000001" customHeight="1" thickBot="1">
      <c r="A19" s="489" t="s">
        <v>198</v>
      </c>
      <c r="B19" s="191" t="s">
        <v>186</v>
      </c>
      <c r="C19" s="478"/>
      <c r="D19" s="478"/>
      <c r="E19" s="478"/>
      <c r="F19" s="478"/>
      <c r="G19" s="478"/>
      <c r="H19" s="478"/>
      <c r="I19" s="478"/>
      <c r="J19" s="478"/>
      <c r="K19" s="478"/>
      <c r="L19" s="478"/>
      <c r="M19" s="478"/>
      <c r="N19" s="478"/>
      <c r="O19" s="445">
        <f t="shared" si="0"/>
        <v>0</v>
      </c>
      <c r="P19" s="443"/>
    </row>
    <row r="20" spans="1:16" ht="20.100000000000001" customHeight="1" thickBot="1">
      <c r="A20" s="489" t="s">
        <v>199</v>
      </c>
      <c r="B20" s="191" t="s">
        <v>186</v>
      </c>
      <c r="C20" s="478"/>
      <c r="D20" s="478"/>
      <c r="E20" s="478"/>
      <c r="F20" s="478"/>
      <c r="G20" s="478"/>
      <c r="H20" s="478"/>
      <c r="I20" s="478"/>
      <c r="J20" s="478"/>
      <c r="K20" s="478"/>
      <c r="L20" s="478"/>
      <c r="M20" s="478"/>
      <c r="N20" s="478"/>
      <c r="O20" s="445">
        <f t="shared" si="0"/>
        <v>0</v>
      </c>
      <c r="P20" s="443"/>
    </row>
    <row r="21" spans="1:16" ht="20.100000000000001" customHeight="1" thickBot="1">
      <c r="A21" s="489" t="s">
        <v>200</v>
      </c>
      <c r="B21" s="191" t="s">
        <v>186</v>
      </c>
      <c r="C21" s="478"/>
      <c r="D21" s="478"/>
      <c r="E21" s="478"/>
      <c r="F21" s="478"/>
      <c r="G21" s="478"/>
      <c r="H21" s="478"/>
      <c r="I21" s="478"/>
      <c r="J21" s="478"/>
      <c r="K21" s="478"/>
      <c r="L21" s="478"/>
      <c r="M21" s="478"/>
      <c r="N21" s="478"/>
      <c r="O21" s="445">
        <f t="shared" si="0"/>
        <v>0</v>
      </c>
      <c r="P21" s="443"/>
    </row>
    <row r="22" spans="1:16" ht="20.100000000000001" customHeight="1" thickBot="1">
      <c r="A22" s="489" t="s">
        <v>201</v>
      </c>
      <c r="B22" s="191" t="s">
        <v>186</v>
      </c>
      <c r="C22" s="478"/>
      <c r="D22" s="478"/>
      <c r="E22" s="478"/>
      <c r="F22" s="478"/>
      <c r="G22" s="478"/>
      <c r="H22" s="478"/>
      <c r="I22" s="478"/>
      <c r="J22" s="478"/>
      <c r="K22" s="478"/>
      <c r="L22" s="478"/>
      <c r="M22" s="478"/>
      <c r="N22" s="478"/>
      <c r="O22" s="445">
        <f t="shared" si="0"/>
        <v>0</v>
      </c>
      <c r="P22" s="443"/>
    </row>
    <row r="23" spans="1:16" ht="20.100000000000001" customHeight="1" thickBot="1">
      <c r="A23" s="489" t="s">
        <v>202</v>
      </c>
      <c r="B23" s="191" t="s">
        <v>186</v>
      </c>
      <c r="C23" s="478"/>
      <c r="D23" s="478"/>
      <c r="E23" s="478"/>
      <c r="F23" s="478"/>
      <c r="G23" s="478"/>
      <c r="H23" s="478"/>
      <c r="I23" s="478"/>
      <c r="J23" s="478"/>
      <c r="K23" s="478"/>
      <c r="L23" s="478"/>
      <c r="M23" s="478"/>
      <c r="N23" s="478"/>
      <c r="O23" s="445">
        <f t="shared" si="0"/>
        <v>0</v>
      </c>
      <c r="P23" s="443"/>
    </row>
    <row r="24" spans="1:16" ht="20.100000000000001" customHeight="1" thickBot="1">
      <c r="A24" s="489" t="s">
        <v>203</v>
      </c>
      <c r="B24" s="191" t="s">
        <v>186</v>
      </c>
      <c r="C24" s="478"/>
      <c r="D24" s="478"/>
      <c r="E24" s="478"/>
      <c r="F24" s="478"/>
      <c r="G24" s="478"/>
      <c r="H24" s="478"/>
      <c r="I24" s="478"/>
      <c r="J24" s="478"/>
      <c r="K24" s="478"/>
      <c r="L24" s="478"/>
      <c r="M24" s="478"/>
      <c r="N24" s="478"/>
      <c r="O24" s="445">
        <f t="shared" si="0"/>
        <v>0</v>
      </c>
      <c r="P24" s="443"/>
    </row>
    <row r="25" spans="1:16" ht="20.100000000000001" customHeight="1" thickBot="1">
      <c r="A25" s="489" t="s">
        <v>204</v>
      </c>
      <c r="B25" s="191" t="s">
        <v>186</v>
      </c>
      <c r="C25" s="478"/>
      <c r="D25" s="478"/>
      <c r="E25" s="478"/>
      <c r="F25" s="478"/>
      <c r="G25" s="478"/>
      <c r="H25" s="478"/>
      <c r="I25" s="478"/>
      <c r="J25" s="478"/>
      <c r="K25" s="478"/>
      <c r="L25" s="478"/>
      <c r="M25" s="478"/>
      <c r="N25" s="478"/>
      <c r="O25" s="445">
        <f t="shared" si="0"/>
        <v>0</v>
      </c>
      <c r="P25" s="443"/>
    </row>
    <row r="26" spans="1:16" ht="20.100000000000001" customHeight="1" thickBot="1">
      <c r="A26" s="489" t="s">
        <v>205</v>
      </c>
      <c r="B26" s="191" t="s">
        <v>186</v>
      </c>
      <c r="C26" s="478"/>
      <c r="D26" s="478"/>
      <c r="E26" s="478"/>
      <c r="F26" s="478"/>
      <c r="G26" s="478"/>
      <c r="H26" s="478"/>
      <c r="I26" s="478"/>
      <c r="J26" s="478"/>
      <c r="K26" s="478"/>
      <c r="L26" s="478"/>
      <c r="M26" s="478"/>
      <c r="N26" s="478"/>
      <c r="O26" s="445">
        <f t="shared" si="0"/>
        <v>0</v>
      </c>
      <c r="P26" s="443"/>
    </row>
    <row r="27" spans="1:16" ht="20.100000000000001" customHeight="1" thickBot="1">
      <c r="A27" s="489" t="s">
        <v>206</v>
      </c>
      <c r="B27" s="191" t="s">
        <v>186</v>
      </c>
      <c r="C27" s="478"/>
      <c r="D27" s="478"/>
      <c r="E27" s="478"/>
      <c r="F27" s="478"/>
      <c r="G27" s="478"/>
      <c r="H27" s="478"/>
      <c r="I27" s="478"/>
      <c r="J27" s="478"/>
      <c r="K27" s="478"/>
      <c r="L27" s="478"/>
      <c r="M27" s="478"/>
      <c r="N27" s="478"/>
      <c r="O27" s="445">
        <f t="shared" si="0"/>
        <v>0</v>
      </c>
      <c r="P27" s="443"/>
    </row>
    <row r="28" spans="1:16" ht="20.100000000000001" customHeight="1" thickBot="1">
      <c r="A28" s="489" t="s">
        <v>207</v>
      </c>
      <c r="B28" s="191" t="s">
        <v>186</v>
      </c>
      <c r="C28" s="478"/>
      <c r="D28" s="478"/>
      <c r="E28" s="478"/>
      <c r="F28" s="478"/>
      <c r="G28" s="478"/>
      <c r="H28" s="478"/>
      <c r="I28" s="478"/>
      <c r="J28" s="478"/>
      <c r="K28" s="478"/>
      <c r="L28" s="478"/>
      <c r="M28" s="478"/>
      <c r="N28" s="478"/>
      <c r="O28" s="445">
        <f t="shared" si="0"/>
        <v>0</v>
      </c>
      <c r="P28" s="443"/>
    </row>
    <row r="29" spans="1:16" ht="20.100000000000001" customHeight="1" thickBot="1">
      <c r="A29" s="489" t="s">
        <v>208</v>
      </c>
      <c r="B29" s="191" t="s">
        <v>186</v>
      </c>
      <c r="C29" s="478"/>
      <c r="D29" s="478"/>
      <c r="E29" s="478"/>
      <c r="F29" s="478"/>
      <c r="G29" s="478"/>
      <c r="H29" s="478"/>
      <c r="I29" s="478"/>
      <c r="J29" s="478"/>
      <c r="K29" s="478"/>
      <c r="L29" s="478"/>
      <c r="M29" s="478"/>
      <c r="N29" s="478"/>
      <c r="O29" s="445">
        <f t="shared" si="0"/>
        <v>0</v>
      </c>
      <c r="P29" s="443"/>
    </row>
    <row r="30" spans="1:16" ht="20.100000000000001" customHeight="1" thickBot="1">
      <c r="A30" s="489" t="s">
        <v>208</v>
      </c>
      <c r="B30" s="191" t="s">
        <v>186</v>
      </c>
      <c r="C30" s="478"/>
      <c r="D30" s="478"/>
      <c r="E30" s="478"/>
      <c r="F30" s="478"/>
      <c r="G30" s="478"/>
      <c r="H30" s="478"/>
      <c r="I30" s="478"/>
      <c r="J30" s="478"/>
      <c r="K30" s="478"/>
      <c r="L30" s="478"/>
      <c r="M30" s="478"/>
      <c r="N30" s="478"/>
      <c r="O30" s="445">
        <f t="shared" si="0"/>
        <v>0</v>
      </c>
      <c r="P30" s="443"/>
    </row>
    <row r="31" spans="1:16" ht="20.100000000000001" customHeight="1" thickBot="1">
      <c r="A31" s="489" t="s">
        <v>209</v>
      </c>
      <c r="B31" s="191" t="s">
        <v>186</v>
      </c>
      <c r="C31" s="478"/>
      <c r="D31" s="478"/>
      <c r="E31" s="478"/>
      <c r="F31" s="478"/>
      <c r="G31" s="478"/>
      <c r="H31" s="478"/>
      <c r="I31" s="478"/>
      <c r="J31" s="478"/>
      <c r="K31" s="478"/>
      <c r="L31" s="478"/>
      <c r="M31" s="478"/>
      <c r="N31" s="478"/>
      <c r="O31" s="445">
        <f t="shared" si="0"/>
        <v>0</v>
      </c>
      <c r="P31" s="443"/>
    </row>
    <row r="32" spans="1:16" ht="20.100000000000001" customHeight="1" thickBot="1">
      <c r="A32" s="489" t="s">
        <v>210</v>
      </c>
      <c r="B32" s="191" t="s">
        <v>186</v>
      </c>
      <c r="C32" s="478"/>
      <c r="D32" s="478"/>
      <c r="E32" s="478"/>
      <c r="F32" s="478"/>
      <c r="G32" s="478"/>
      <c r="H32" s="478"/>
      <c r="I32" s="478"/>
      <c r="J32" s="478"/>
      <c r="K32" s="478"/>
      <c r="L32" s="478"/>
      <c r="M32" s="478"/>
      <c r="N32" s="478"/>
      <c r="O32" s="445">
        <f t="shared" si="0"/>
        <v>0</v>
      </c>
      <c r="P32" s="443"/>
    </row>
    <row r="33" spans="1:16" ht="20.100000000000001" customHeight="1" thickBot="1">
      <c r="A33" s="489" t="s">
        <v>211</v>
      </c>
      <c r="B33" s="191" t="s">
        <v>186</v>
      </c>
      <c r="C33" s="478"/>
      <c r="D33" s="478"/>
      <c r="E33" s="478"/>
      <c r="F33" s="478"/>
      <c r="G33" s="478"/>
      <c r="H33" s="478"/>
      <c r="I33" s="478"/>
      <c r="J33" s="478"/>
      <c r="K33" s="478"/>
      <c r="L33" s="478"/>
      <c r="M33" s="478"/>
      <c r="N33" s="478"/>
      <c r="O33" s="445">
        <f t="shared" si="0"/>
        <v>0</v>
      </c>
      <c r="P33" s="443"/>
    </row>
    <row r="34" spans="1:16" ht="20.100000000000001" customHeight="1" thickBot="1">
      <c r="A34" s="489" t="s">
        <v>212</v>
      </c>
      <c r="B34" s="191" t="s">
        <v>186</v>
      </c>
      <c r="C34" s="478"/>
      <c r="D34" s="478"/>
      <c r="E34" s="478"/>
      <c r="F34" s="478"/>
      <c r="G34" s="478"/>
      <c r="H34" s="478"/>
      <c r="I34" s="478"/>
      <c r="J34" s="478"/>
      <c r="K34" s="478"/>
      <c r="L34" s="478"/>
      <c r="M34" s="478"/>
      <c r="N34" s="478"/>
      <c r="O34" s="445">
        <f t="shared" si="0"/>
        <v>0</v>
      </c>
      <c r="P34" s="443"/>
    </row>
    <row r="35" spans="1:16" ht="20.100000000000001" customHeight="1" thickBot="1">
      <c r="A35" s="489" t="s">
        <v>213</v>
      </c>
      <c r="B35" s="191" t="s">
        <v>186</v>
      </c>
      <c r="C35" s="478"/>
      <c r="D35" s="478"/>
      <c r="E35" s="478"/>
      <c r="F35" s="478"/>
      <c r="G35" s="478"/>
      <c r="H35" s="478"/>
      <c r="I35" s="478"/>
      <c r="J35" s="478"/>
      <c r="K35" s="478"/>
      <c r="L35" s="478"/>
      <c r="M35" s="478"/>
      <c r="N35" s="478"/>
      <c r="O35" s="445">
        <f t="shared" si="0"/>
        <v>0</v>
      </c>
      <c r="P35" s="443"/>
    </row>
    <row r="36" spans="1:16" ht="20.100000000000001" customHeight="1" thickBot="1">
      <c r="A36" s="489" t="s">
        <v>214</v>
      </c>
      <c r="B36" s="191" t="s">
        <v>186</v>
      </c>
      <c r="C36" s="478"/>
      <c r="D36" s="478"/>
      <c r="E36" s="478"/>
      <c r="F36" s="478"/>
      <c r="G36" s="478"/>
      <c r="H36" s="478"/>
      <c r="I36" s="478"/>
      <c r="J36" s="478"/>
      <c r="K36" s="478"/>
      <c r="L36" s="478"/>
      <c r="M36" s="478"/>
      <c r="N36" s="478"/>
      <c r="O36" s="445">
        <f t="shared" si="0"/>
        <v>0</v>
      </c>
      <c r="P36" s="443"/>
    </row>
    <row r="37" spans="1:16" ht="20.100000000000001" customHeight="1" thickBot="1">
      <c r="A37" s="489"/>
      <c r="B37" s="191" t="s">
        <v>186</v>
      </c>
      <c r="C37" s="478"/>
      <c r="D37" s="478"/>
      <c r="E37" s="478"/>
      <c r="F37" s="478"/>
      <c r="G37" s="478"/>
      <c r="H37" s="478"/>
      <c r="I37" s="478"/>
      <c r="J37" s="478"/>
      <c r="K37" s="478"/>
      <c r="L37" s="478"/>
      <c r="M37" s="478"/>
      <c r="N37" s="478"/>
      <c r="O37" s="445">
        <f t="shared" si="0"/>
        <v>0</v>
      </c>
      <c r="P37" s="443"/>
    </row>
    <row r="38" spans="1:16" ht="20.100000000000001" customHeight="1" thickBot="1">
      <c r="A38" s="489"/>
      <c r="B38" s="191" t="s">
        <v>186</v>
      </c>
      <c r="C38" s="478"/>
      <c r="D38" s="478"/>
      <c r="E38" s="478"/>
      <c r="F38" s="478"/>
      <c r="G38" s="478"/>
      <c r="H38" s="478"/>
      <c r="I38" s="478"/>
      <c r="J38" s="478"/>
      <c r="K38" s="478"/>
      <c r="L38" s="478"/>
      <c r="M38" s="478"/>
      <c r="N38" s="478"/>
      <c r="O38" s="445">
        <f t="shared" si="0"/>
        <v>0</v>
      </c>
      <c r="P38" s="443"/>
    </row>
    <row r="39" spans="1:16" ht="20.100000000000001" customHeight="1" thickBot="1">
      <c r="A39" s="489"/>
      <c r="B39" s="191" t="s">
        <v>186</v>
      </c>
      <c r="C39" s="478"/>
      <c r="D39" s="478"/>
      <c r="E39" s="478"/>
      <c r="F39" s="478"/>
      <c r="G39" s="478"/>
      <c r="H39" s="478"/>
      <c r="I39" s="478"/>
      <c r="J39" s="478"/>
      <c r="K39" s="478"/>
      <c r="L39" s="478"/>
      <c r="M39" s="478"/>
      <c r="N39" s="478"/>
      <c r="O39" s="445">
        <f t="shared" si="0"/>
        <v>0</v>
      </c>
      <c r="P39" s="443"/>
    </row>
    <row r="40" spans="1:16" ht="29.65" customHeight="1" thickBot="1">
      <c r="A40" s="666" t="s">
        <v>215</v>
      </c>
      <c r="B40" s="666"/>
      <c r="C40" s="445">
        <f t="shared" ref="C40:N40" si="1">ROUND((C9+C10+C11+C12+C13+C14+C15+C16+C17+C18+C19+C20+C21+C22+C23+C24+C25+C26+C27+C28+C29+C30+C31+C32+C33+C34+C35+C36+C37+C38+C39),0)</f>
        <v>0</v>
      </c>
      <c r="D40" s="445">
        <f t="shared" si="1"/>
        <v>0</v>
      </c>
      <c r="E40" s="445">
        <f t="shared" si="1"/>
        <v>0</v>
      </c>
      <c r="F40" s="445">
        <f t="shared" si="1"/>
        <v>0</v>
      </c>
      <c r="G40" s="445">
        <f t="shared" si="1"/>
        <v>0</v>
      </c>
      <c r="H40" s="445">
        <f t="shared" si="1"/>
        <v>0</v>
      </c>
      <c r="I40" s="445">
        <f t="shared" si="1"/>
        <v>0</v>
      </c>
      <c r="J40" s="445">
        <f t="shared" si="1"/>
        <v>0</v>
      </c>
      <c r="K40" s="445">
        <f t="shared" si="1"/>
        <v>0</v>
      </c>
      <c r="L40" s="445">
        <f t="shared" si="1"/>
        <v>0</v>
      </c>
      <c r="M40" s="445">
        <f t="shared" si="1"/>
        <v>0</v>
      </c>
      <c r="N40" s="445">
        <f t="shared" si="1"/>
        <v>0</v>
      </c>
      <c r="O40" s="445">
        <f>SUM(O9:O39)</f>
        <v>0</v>
      </c>
      <c r="P40" s="192"/>
    </row>
    <row r="41" spans="1:16" ht="15" customHeight="1"/>
  </sheetData>
  <sheetProtection formatCells="0"/>
  <mergeCells count="18">
    <mergeCell ref="O4:O5"/>
    <mergeCell ref="A40:B40"/>
    <mergeCell ref="I4:I5"/>
    <mergeCell ref="J4:J5"/>
    <mergeCell ref="K4:K5"/>
    <mergeCell ref="L4:L5"/>
    <mergeCell ref="M4:M5"/>
    <mergeCell ref="N4:N5"/>
    <mergeCell ref="B1:O1"/>
    <mergeCell ref="A2:O3"/>
    <mergeCell ref="P2:P7"/>
    <mergeCell ref="A4:A5"/>
    <mergeCell ref="C4:C5"/>
    <mergeCell ref="D4:D5"/>
    <mergeCell ref="E4:E5"/>
    <mergeCell ref="F4:F5"/>
    <mergeCell ref="G4:G5"/>
    <mergeCell ref="H4:H5"/>
  </mergeCells>
  <conditionalFormatting sqref="C6:N7">
    <cfRule type="expression" dxfId="1" priority="2">
      <formula>NOT(ISBLANK(C6))</formula>
    </cfRule>
  </conditionalFormatting>
  <conditionalFormatting sqref="C9:N39">
    <cfRule type="expression" dxfId="0" priority="1">
      <formula>NOT(ISBLANK(C9))</formula>
    </cfRule>
  </conditionalFormatting>
  <pageMargins left="0.25" right="0.25" top="0.75" bottom="0.75" header="0.3" footer="0.3"/>
  <pageSetup paperSize="9" scale="5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E0CE-A441-45DE-8B5B-EC23C6A87399}">
  <sheetPr codeName="Sheet9">
    <tabColor theme="1" tint="-0.249977111117893"/>
  </sheetPr>
  <dimension ref="A1:O30"/>
  <sheetViews>
    <sheetView zoomScaleNormal="100" workbookViewId="0">
      <selection activeCell="N23" sqref="N23"/>
    </sheetView>
  </sheetViews>
  <sheetFormatPr defaultColWidth="8.7109375" defaultRowHeight="12.75"/>
  <cols>
    <col min="1" max="1" width="8.7109375" style="1"/>
    <col min="2" max="2" width="20.7109375" style="1" customWidth="1"/>
    <col min="3" max="3" width="12.28515625" style="1" customWidth="1"/>
    <col min="4" max="5" width="10.7109375" style="1" customWidth="1"/>
    <col min="6" max="6" width="11.85546875" style="1" customWidth="1"/>
    <col min="7" max="7" width="11.42578125" style="1" customWidth="1"/>
    <col min="8" max="8" width="11.5703125" style="1" customWidth="1"/>
    <col min="9" max="9" width="10.85546875" style="1" customWidth="1"/>
    <col min="10" max="16384" width="8.7109375" style="1"/>
  </cols>
  <sheetData>
    <row r="1" spans="1:15" ht="20.25">
      <c r="A1" s="526" t="s">
        <v>181</v>
      </c>
      <c r="B1" s="526"/>
      <c r="C1" s="532" t="str">
        <f>'Set Up Details'!C2</f>
        <v>Test1</v>
      </c>
      <c r="D1" s="532"/>
      <c r="E1" s="532"/>
      <c r="F1" s="532"/>
      <c r="G1" s="532"/>
      <c r="H1" s="532"/>
      <c r="I1" s="532"/>
      <c r="J1" s="532"/>
      <c r="K1" s="532"/>
      <c r="L1" s="532"/>
      <c r="M1" s="532"/>
      <c r="N1" s="532"/>
      <c r="O1" s="532"/>
    </row>
    <row r="2" spans="1:15" ht="31.15" customHeight="1">
      <c r="A2" s="527" t="s">
        <v>217</v>
      </c>
      <c r="B2" s="527"/>
      <c r="C2" s="527"/>
      <c r="D2" s="527"/>
      <c r="E2" s="527"/>
      <c r="F2" s="527"/>
      <c r="G2" s="527"/>
      <c r="H2" s="527"/>
      <c r="I2" s="527"/>
      <c r="J2" s="527" t="s">
        <v>218</v>
      </c>
      <c r="K2" s="527"/>
      <c r="L2" s="527"/>
      <c r="M2" s="527"/>
      <c r="N2" s="527"/>
      <c r="O2" s="527"/>
    </row>
    <row r="3" spans="1:15" ht="27" customHeight="1">
      <c r="A3" s="528" t="s">
        <v>219</v>
      </c>
      <c r="B3" s="528"/>
      <c r="C3" s="530" t="s">
        <v>460</v>
      </c>
      <c r="D3" s="530" t="s">
        <v>220</v>
      </c>
      <c r="E3" s="530" t="s">
        <v>221</v>
      </c>
      <c r="F3" s="530" t="s">
        <v>222</v>
      </c>
      <c r="G3" s="530"/>
      <c r="H3" s="530"/>
      <c r="I3" s="530"/>
      <c r="J3" s="530" t="s">
        <v>223</v>
      </c>
      <c r="K3" s="530"/>
      <c r="L3" s="530"/>
      <c r="M3" s="530"/>
      <c r="N3" s="530"/>
      <c r="O3" s="530"/>
    </row>
    <row r="4" spans="1:15" ht="27" customHeight="1">
      <c r="A4" s="528"/>
      <c r="B4" s="528"/>
      <c r="C4" s="530"/>
      <c r="D4" s="530"/>
      <c r="E4" s="530"/>
      <c r="F4" s="533" t="s">
        <v>224</v>
      </c>
      <c r="G4" s="533"/>
      <c r="H4" s="533"/>
      <c r="I4" s="533"/>
      <c r="J4" s="530" t="s">
        <v>225</v>
      </c>
      <c r="K4" s="530"/>
      <c r="L4" s="530"/>
      <c r="M4" s="530" t="s">
        <v>226</v>
      </c>
      <c r="N4" s="530"/>
      <c r="O4" s="530"/>
    </row>
    <row r="5" spans="1:15" ht="63.75" customHeight="1">
      <c r="A5" s="529"/>
      <c r="B5" s="529"/>
      <c r="C5" s="531"/>
      <c r="D5" s="531"/>
      <c r="E5" s="531"/>
      <c r="F5" s="491" t="s">
        <v>227</v>
      </c>
      <c r="G5" s="491" t="s">
        <v>471</v>
      </c>
      <c r="H5" s="491" t="s">
        <v>472</v>
      </c>
      <c r="I5" s="491" t="s">
        <v>473</v>
      </c>
      <c r="J5" s="534">
        <v>0.9</v>
      </c>
      <c r="K5" s="534"/>
      <c r="L5" s="534"/>
      <c r="M5" s="521">
        <v>1.8</v>
      </c>
      <c r="N5" s="521"/>
      <c r="O5" s="521"/>
    </row>
    <row r="6" spans="1:15" ht="15" customHeight="1">
      <c r="A6" s="522" t="s">
        <v>474</v>
      </c>
      <c r="B6" s="523"/>
      <c r="C6" s="492">
        <v>10000</v>
      </c>
      <c r="D6" s="492">
        <v>1000</v>
      </c>
      <c r="E6" s="481">
        <f t="shared" ref="E6:E30" si="0">IF(OR(ISBLANK(C6),ISBLANK(D6)),"",(C6-D6)/C6)</f>
        <v>0.9</v>
      </c>
      <c r="F6" s="481">
        <v>0.2</v>
      </c>
      <c r="G6" s="481">
        <v>0.2</v>
      </c>
      <c r="H6" s="481">
        <v>0.2</v>
      </c>
      <c r="I6" s="481">
        <v>0.2</v>
      </c>
      <c r="J6" s="195" t="str">
        <f>IF(ISBLANK(A6)," ",(IF(SUM(F6:I6)=100%," ","F, G, H &amp; I Must Add-Up To Make 100%")))</f>
        <v>F, G, H &amp; I Must Add-Up To Make 100%</v>
      </c>
      <c r="K6" s="193"/>
      <c r="L6" s="193"/>
      <c r="M6" s="193"/>
      <c r="N6" s="193"/>
      <c r="O6" s="193"/>
    </row>
    <row r="7" spans="1:15" ht="15" customHeight="1">
      <c r="A7" s="522" t="s">
        <v>475</v>
      </c>
      <c r="B7" s="523"/>
      <c r="C7" s="487">
        <v>5000</v>
      </c>
      <c r="D7" s="487">
        <v>500</v>
      </c>
      <c r="E7" s="481">
        <f t="shared" si="0"/>
        <v>0.9</v>
      </c>
      <c r="F7" s="481">
        <v>1</v>
      </c>
      <c r="G7" s="481"/>
      <c r="H7" s="481"/>
      <c r="I7" s="481"/>
      <c r="J7" s="195" t="str">
        <f t="shared" ref="J7:J30" si="1">IF(ISBLANK(A7)," ",(IF(SUM(F7:I7)=100%," ","F, G, H &amp; I Must Add to 100%")))</f>
        <v xml:space="preserve"> </v>
      </c>
      <c r="K7" s="193"/>
      <c r="L7" s="193"/>
      <c r="M7" s="193"/>
      <c r="N7" s="193"/>
      <c r="O7" s="193"/>
    </row>
    <row r="8" spans="1:15" ht="15" customHeight="1">
      <c r="A8" s="522" t="s">
        <v>476</v>
      </c>
      <c r="B8" s="523"/>
      <c r="C8" s="487">
        <v>4000</v>
      </c>
      <c r="D8" s="487">
        <v>400</v>
      </c>
      <c r="E8" s="481">
        <f t="shared" si="0"/>
        <v>0.9</v>
      </c>
      <c r="F8" s="481">
        <v>0.5</v>
      </c>
      <c r="G8" s="481">
        <v>0.5</v>
      </c>
      <c r="H8" s="481"/>
      <c r="I8" s="481"/>
      <c r="J8" s="195" t="str">
        <f t="shared" si="1"/>
        <v xml:space="preserve"> </v>
      </c>
      <c r="K8" s="193"/>
      <c r="L8" s="193"/>
      <c r="M8" s="193"/>
      <c r="N8" s="193"/>
      <c r="O8" s="193"/>
    </row>
    <row r="9" spans="1:15" ht="15" customHeight="1">
      <c r="A9" s="519"/>
      <c r="B9" s="520"/>
      <c r="C9" s="487"/>
      <c r="D9" s="487">
        <v>0</v>
      </c>
      <c r="E9" s="481" t="str">
        <f t="shared" si="0"/>
        <v/>
      </c>
      <c r="F9" s="481"/>
      <c r="G9" s="481"/>
      <c r="H9" s="481"/>
      <c r="I9" s="481"/>
      <c r="J9" s="195" t="str">
        <f t="shared" si="1"/>
        <v xml:space="preserve"> </v>
      </c>
      <c r="K9" s="193"/>
      <c r="L9" s="193"/>
      <c r="M9" s="193"/>
      <c r="N9" s="193"/>
      <c r="O9" s="193"/>
    </row>
    <row r="10" spans="1:15" ht="15" customHeight="1">
      <c r="A10" s="519"/>
      <c r="B10" s="520"/>
      <c r="C10" s="487"/>
      <c r="D10" s="487">
        <v>0</v>
      </c>
      <c r="E10" s="481" t="str">
        <f t="shared" si="0"/>
        <v/>
      </c>
      <c r="F10" s="481"/>
      <c r="G10" s="481"/>
      <c r="H10" s="481"/>
      <c r="I10" s="481"/>
      <c r="J10" s="195" t="str">
        <f t="shared" si="1"/>
        <v xml:space="preserve"> </v>
      </c>
      <c r="K10" s="193"/>
      <c r="L10" s="193"/>
      <c r="M10" s="193"/>
      <c r="N10" s="193"/>
      <c r="O10" s="193"/>
    </row>
    <row r="11" spans="1:15" ht="15" customHeight="1">
      <c r="A11" s="519"/>
      <c r="B11" s="520"/>
      <c r="C11" s="487"/>
      <c r="D11" s="487">
        <v>0</v>
      </c>
      <c r="E11" s="481" t="str">
        <f t="shared" si="0"/>
        <v/>
      </c>
      <c r="F11" s="481"/>
      <c r="G11" s="481"/>
      <c r="H11" s="481"/>
      <c r="I11" s="481"/>
      <c r="J11" s="195" t="str">
        <f t="shared" si="1"/>
        <v xml:space="preserve"> </v>
      </c>
      <c r="K11" s="193"/>
      <c r="L11" s="193"/>
      <c r="M11" s="193"/>
      <c r="N11" s="193"/>
      <c r="O11" s="193"/>
    </row>
    <row r="12" spans="1:15" ht="15" customHeight="1">
      <c r="A12" s="519"/>
      <c r="B12" s="520"/>
      <c r="C12" s="487"/>
      <c r="D12" s="487">
        <v>0</v>
      </c>
      <c r="E12" s="481" t="str">
        <f t="shared" si="0"/>
        <v/>
      </c>
      <c r="F12" s="481"/>
      <c r="G12" s="481"/>
      <c r="H12" s="481"/>
      <c r="I12" s="481"/>
      <c r="J12" s="195" t="str">
        <f t="shared" si="1"/>
        <v xml:space="preserve"> </v>
      </c>
      <c r="K12" s="193"/>
      <c r="L12" s="193"/>
      <c r="M12" s="193"/>
      <c r="N12" s="193"/>
      <c r="O12" s="193"/>
    </row>
    <row r="13" spans="1:15" ht="15" customHeight="1">
      <c r="A13" s="519"/>
      <c r="B13" s="520"/>
      <c r="C13" s="487"/>
      <c r="D13" s="487">
        <v>0</v>
      </c>
      <c r="E13" s="481" t="str">
        <f t="shared" si="0"/>
        <v/>
      </c>
      <c r="F13" s="481"/>
      <c r="G13" s="481"/>
      <c r="H13" s="481"/>
      <c r="I13" s="481"/>
      <c r="J13" s="195" t="str">
        <f t="shared" si="1"/>
        <v xml:space="preserve"> </v>
      </c>
      <c r="K13" s="193"/>
      <c r="L13" s="193"/>
      <c r="M13" s="193"/>
      <c r="N13" s="193"/>
      <c r="O13" s="193"/>
    </row>
    <row r="14" spans="1:15" ht="15" customHeight="1">
      <c r="A14" s="519"/>
      <c r="B14" s="520"/>
      <c r="C14" s="487"/>
      <c r="D14" s="487">
        <v>0</v>
      </c>
      <c r="E14" s="481" t="str">
        <f t="shared" si="0"/>
        <v/>
      </c>
      <c r="F14" s="481"/>
      <c r="G14" s="481"/>
      <c r="H14" s="481"/>
      <c r="I14" s="481"/>
      <c r="J14" s="195" t="str">
        <f t="shared" si="1"/>
        <v xml:space="preserve"> </v>
      </c>
      <c r="K14" s="193"/>
      <c r="L14" s="193"/>
      <c r="M14" s="193"/>
      <c r="N14" s="193"/>
      <c r="O14" s="193"/>
    </row>
    <row r="15" spans="1:15" ht="15" customHeight="1">
      <c r="A15" s="519"/>
      <c r="B15" s="520"/>
      <c r="C15" s="487"/>
      <c r="D15" s="487">
        <v>0</v>
      </c>
      <c r="E15" s="481" t="str">
        <f t="shared" si="0"/>
        <v/>
      </c>
      <c r="F15" s="481"/>
      <c r="G15" s="481"/>
      <c r="H15" s="481"/>
      <c r="I15" s="481"/>
      <c r="J15" s="195" t="str">
        <f t="shared" si="1"/>
        <v xml:space="preserve"> </v>
      </c>
      <c r="K15" s="193"/>
      <c r="L15" s="193"/>
      <c r="M15" s="193"/>
      <c r="N15" s="193"/>
      <c r="O15" s="193"/>
    </row>
    <row r="16" spans="1:15" ht="15" customHeight="1">
      <c r="A16" s="519"/>
      <c r="B16" s="520"/>
      <c r="C16" s="487"/>
      <c r="D16" s="487">
        <v>0</v>
      </c>
      <c r="E16" s="481" t="str">
        <f t="shared" si="0"/>
        <v/>
      </c>
      <c r="F16" s="481"/>
      <c r="G16" s="481"/>
      <c r="H16" s="481"/>
      <c r="I16" s="481"/>
      <c r="J16" s="195" t="str">
        <f t="shared" si="1"/>
        <v xml:space="preserve"> </v>
      </c>
      <c r="K16" s="193"/>
      <c r="L16" s="193"/>
      <c r="M16" s="193"/>
      <c r="N16" s="193"/>
      <c r="O16" s="193"/>
    </row>
    <row r="17" spans="1:15" ht="15" customHeight="1">
      <c r="A17" s="519"/>
      <c r="B17" s="520"/>
      <c r="C17" s="487"/>
      <c r="D17" s="487">
        <v>0</v>
      </c>
      <c r="E17" s="481" t="str">
        <f t="shared" si="0"/>
        <v/>
      </c>
      <c r="F17" s="481"/>
      <c r="G17" s="481"/>
      <c r="H17" s="481"/>
      <c r="I17" s="481"/>
      <c r="J17" s="195" t="str">
        <f t="shared" si="1"/>
        <v xml:space="preserve"> </v>
      </c>
      <c r="K17" s="193"/>
      <c r="L17" s="193"/>
      <c r="M17" s="193"/>
      <c r="N17" s="193"/>
      <c r="O17" s="193"/>
    </row>
    <row r="18" spans="1:15" ht="15" customHeight="1">
      <c r="A18" s="519"/>
      <c r="B18" s="520"/>
      <c r="C18" s="487"/>
      <c r="D18" s="487">
        <v>0</v>
      </c>
      <c r="E18" s="481" t="str">
        <f t="shared" si="0"/>
        <v/>
      </c>
      <c r="F18" s="481"/>
      <c r="G18" s="481"/>
      <c r="H18" s="481"/>
      <c r="I18" s="481"/>
      <c r="J18" s="195" t="str">
        <f t="shared" si="1"/>
        <v xml:space="preserve"> </v>
      </c>
      <c r="K18" s="193"/>
      <c r="L18" s="193"/>
      <c r="M18" s="193"/>
      <c r="N18" s="193"/>
      <c r="O18" s="193"/>
    </row>
    <row r="19" spans="1:15" ht="15" customHeight="1">
      <c r="A19" s="519"/>
      <c r="B19" s="520"/>
      <c r="C19" s="487"/>
      <c r="D19" s="487">
        <v>0</v>
      </c>
      <c r="E19" s="481" t="str">
        <f t="shared" si="0"/>
        <v/>
      </c>
      <c r="F19" s="481"/>
      <c r="G19" s="481"/>
      <c r="H19" s="481"/>
      <c r="I19" s="481"/>
      <c r="J19" s="195" t="str">
        <f t="shared" si="1"/>
        <v xml:space="preserve"> </v>
      </c>
      <c r="K19" s="193"/>
      <c r="L19" s="193"/>
      <c r="M19" s="193"/>
      <c r="N19" s="193"/>
      <c r="O19" s="193"/>
    </row>
    <row r="20" spans="1:15" ht="15" customHeight="1">
      <c r="A20" s="535"/>
      <c r="B20" s="536"/>
      <c r="C20" s="487"/>
      <c r="D20" s="487">
        <v>0</v>
      </c>
      <c r="E20" s="481" t="str">
        <f t="shared" si="0"/>
        <v/>
      </c>
      <c r="F20" s="481"/>
      <c r="G20" s="481"/>
      <c r="H20" s="481"/>
      <c r="I20" s="481"/>
      <c r="J20" s="195" t="str">
        <f t="shared" si="1"/>
        <v xml:space="preserve"> </v>
      </c>
      <c r="K20" s="193"/>
      <c r="L20" s="193"/>
      <c r="M20" s="193"/>
      <c r="N20" s="193"/>
      <c r="O20" s="193"/>
    </row>
    <row r="21" spans="1:15" ht="15" customHeight="1">
      <c r="A21" s="535"/>
      <c r="B21" s="536"/>
      <c r="C21" s="487"/>
      <c r="D21" s="487">
        <v>0</v>
      </c>
      <c r="E21" s="481" t="str">
        <f t="shared" si="0"/>
        <v/>
      </c>
      <c r="F21" s="481"/>
      <c r="G21" s="481"/>
      <c r="H21" s="481"/>
      <c r="I21" s="481"/>
      <c r="J21" s="195" t="str">
        <f t="shared" si="1"/>
        <v xml:space="preserve"> </v>
      </c>
      <c r="K21" s="193"/>
      <c r="L21" s="193"/>
      <c r="M21" s="193"/>
      <c r="N21" s="193"/>
      <c r="O21" s="193"/>
    </row>
    <row r="22" spans="1:15" ht="15" customHeight="1">
      <c r="A22" s="535"/>
      <c r="B22" s="536"/>
      <c r="C22" s="487"/>
      <c r="D22" s="487">
        <v>0</v>
      </c>
      <c r="E22" s="481" t="str">
        <f t="shared" si="0"/>
        <v/>
      </c>
      <c r="F22" s="481"/>
      <c r="G22" s="481"/>
      <c r="H22" s="481"/>
      <c r="I22" s="481"/>
      <c r="J22" s="195" t="str">
        <f t="shared" si="1"/>
        <v xml:space="preserve"> </v>
      </c>
      <c r="K22" s="193"/>
      <c r="L22" s="193"/>
      <c r="M22" s="193"/>
      <c r="N22" s="193"/>
      <c r="O22" s="193"/>
    </row>
    <row r="23" spans="1:15" ht="15" customHeight="1">
      <c r="A23" s="535"/>
      <c r="B23" s="536"/>
      <c r="C23" s="487"/>
      <c r="D23" s="487">
        <v>0</v>
      </c>
      <c r="E23" s="481" t="str">
        <f t="shared" si="0"/>
        <v/>
      </c>
      <c r="F23" s="481"/>
      <c r="G23" s="481"/>
      <c r="H23" s="481"/>
      <c r="I23" s="481"/>
      <c r="J23" s="195" t="str">
        <f t="shared" si="1"/>
        <v xml:space="preserve"> </v>
      </c>
      <c r="K23" s="193"/>
      <c r="L23" s="193"/>
      <c r="M23" s="193"/>
      <c r="N23" s="193"/>
      <c r="O23" s="193"/>
    </row>
    <row r="24" spans="1:15" ht="15" customHeight="1">
      <c r="A24" s="535"/>
      <c r="B24" s="536"/>
      <c r="C24" s="487"/>
      <c r="D24" s="487">
        <v>0</v>
      </c>
      <c r="E24" s="481" t="str">
        <f t="shared" si="0"/>
        <v/>
      </c>
      <c r="F24" s="481"/>
      <c r="G24" s="481"/>
      <c r="H24" s="481"/>
      <c r="I24" s="481"/>
      <c r="J24" s="195" t="str">
        <f t="shared" si="1"/>
        <v xml:space="preserve"> </v>
      </c>
      <c r="K24" s="193"/>
      <c r="L24" s="193"/>
      <c r="M24" s="193"/>
      <c r="N24" s="193"/>
      <c r="O24" s="193"/>
    </row>
    <row r="25" spans="1:15" ht="15" customHeight="1">
      <c r="A25" s="535"/>
      <c r="B25" s="536"/>
      <c r="C25" s="487"/>
      <c r="D25" s="487">
        <v>0</v>
      </c>
      <c r="E25" s="481" t="str">
        <f t="shared" si="0"/>
        <v/>
      </c>
      <c r="F25" s="481"/>
      <c r="G25" s="481"/>
      <c r="H25" s="481"/>
      <c r="I25" s="481"/>
      <c r="J25" s="195" t="str">
        <f t="shared" si="1"/>
        <v xml:space="preserve"> </v>
      </c>
      <c r="K25" s="193"/>
      <c r="L25" s="193"/>
      <c r="M25" s="193"/>
      <c r="N25" s="193"/>
      <c r="O25" s="193"/>
    </row>
    <row r="26" spans="1:15" ht="15" customHeight="1">
      <c r="A26" s="535"/>
      <c r="B26" s="536"/>
      <c r="C26" s="487"/>
      <c r="D26" s="487">
        <v>0</v>
      </c>
      <c r="E26" s="481" t="str">
        <f t="shared" si="0"/>
        <v/>
      </c>
      <c r="F26" s="481"/>
      <c r="G26" s="481"/>
      <c r="H26" s="481"/>
      <c r="I26" s="481"/>
      <c r="J26" s="195" t="str">
        <f t="shared" si="1"/>
        <v xml:space="preserve"> </v>
      </c>
      <c r="K26" s="193"/>
      <c r="L26" s="193"/>
      <c r="M26" s="193"/>
      <c r="N26" s="193"/>
      <c r="O26" s="193"/>
    </row>
    <row r="27" spans="1:15" ht="15" customHeight="1">
      <c r="A27" s="535"/>
      <c r="B27" s="536"/>
      <c r="C27" s="487"/>
      <c r="D27" s="487">
        <v>0</v>
      </c>
      <c r="E27" s="481" t="str">
        <f t="shared" si="0"/>
        <v/>
      </c>
      <c r="F27" s="481"/>
      <c r="G27" s="481"/>
      <c r="H27" s="481"/>
      <c r="I27" s="481"/>
      <c r="J27" s="195" t="str">
        <f t="shared" si="1"/>
        <v xml:space="preserve"> </v>
      </c>
      <c r="K27" s="193"/>
      <c r="L27" s="193"/>
      <c r="M27" s="193"/>
      <c r="N27" s="193"/>
      <c r="O27" s="193"/>
    </row>
    <row r="28" spans="1:15" ht="15" customHeight="1">
      <c r="A28" s="535"/>
      <c r="B28" s="536"/>
      <c r="C28" s="487"/>
      <c r="D28" s="487">
        <v>0</v>
      </c>
      <c r="E28" s="481" t="str">
        <f t="shared" si="0"/>
        <v/>
      </c>
      <c r="F28" s="481"/>
      <c r="G28" s="481"/>
      <c r="H28" s="481"/>
      <c r="I28" s="481"/>
      <c r="J28" s="195" t="str">
        <f t="shared" si="1"/>
        <v xml:space="preserve"> </v>
      </c>
      <c r="K28" s="193"/>
      <c r="L28" s="193"/>
      <c r="M28" s="193"/>
      <c r="N28" s="193"/>
      <c r="O28" s="193"/>
    </row>
    <row r="29" spans="1:15" ht="15" customHeight="1">
      <c r="A29" s="535"/>
      <c r="B29" s="536"/>
      <c r="C29" s="487"/>
      <c r="D29" s="487">
        <v>0</v>
      </c>
      <c r="E29" s="481" t="str">
        <f t="shared" si="0"/>
        <v/>
      </c>
      <c r="F29" s="481"/>
      <c r="G29" s="481"/>
      <c r="H29" s="481"/>
      <c r="I29" s="481"/>
      <c r="J29" s="195" t="str">
        <f t="shared" si="1"/>
        <v xml:space="preserve"> </v>
      </c>
      <c r="K29" s="193"/>
      <c r="L29" s="193"/>
      <c r="M29" s="193"/>
      <c r="N29" s="193"/>
      <c r="O29" s="193"/>
    </row>
    <row r="30" spans="1:15" ht="15" customHeight="1">
      <c r="A30" s="524"/>
      <c r="B30" s="525"/>
      <c r="C30" s="493"/>
      <c r="D30" s="493">
        <v>0</v>
      </c>
      <c r="E30" s="481" t="str">
        <f t="shared" si="0"/>
        <v/>
      </c>
      <c r="F30" s="481"/>
      <c r="G30" s="481"/>
      <c r="H30" s="481"/>
      <c r="I30" s="481"/>
      <c r="J30" s="195" t="str">
        <f t="shared" si="1"/>
        <v xml:space="preserve"> </v>
      </c>
      <c r="K30" s="193"/>
      <c r="L30" s="193"/>
      <c r="M30" s="193"/>
      <c r="N30" s="193"/>
      <c r="O30" s="193"/>
    </row>
  </sheetData>
  <mergeCells count="40">
    <mergeCell ref="A20:B20"/>
    <mergeCell ref="A21:B21"/>
    <mergeCell ref="A22:B22"/>
    <mergeCell ref="A23:B23"/>
    <mergeCell ref="A24:B24"/>
    <mergeCell ref="A25:B25"/>
    <mergeCell ref="A26:B26"/>
    <mergeCell ref="A27:B27"/>
    <mergeCell ref="A28:B28"/>
    <mergeCell ref="A29:B29"/>
    <mergeCell ref="A30:B30"/>
    <mergeCell ref="A1:B1"/>
    <mergeCell ref="A2:I2"/>
    <mergeCell ref="J2:O2"/>
    <mergeCell ref="A3:B5"/>
    <mergeCell ref="C3:C5"/>
    <mergeCell ref="D3:D5"/>
    <mergeCell ref="E3:E5"/>
    <mergeCell ref="F3:I3"/>
    <mergeCell ref="J3:O3"/>
    <mergeCell ref="C1:O1"/>
    <mergeCell ref="A12:B12"/>
    <mergeCell ref="F4:I4"/>
    <mergeCell ref="J4:L4"/>
    <mergeCell ref="M4:O4"/>
    <mergeCell ref="J5:L5"/>
    <mergeCell ref="M5:O5"/>
    <mergeCell ref="A6:B6"/>
    <mergeCell ref="A7:B7"/>
    <mergeCell ref="A8:B8"/>
    <mergeCell ref="A9:B9"/>
    <mergeCell ref="A10:B10"/>
    <mergeCell ref="A11:B11"/>
    <mergeCell ref="A19:B19"/>
    <mergeCell ref="A13:B13"/>
    <mergeCell ref="A14:B14"/>
    <mergeCell ref="A15:B15"/>
    <mergeCell ref="A16:B16"/>
    <mergeCell ref="A17:B17"/>
    <mergeCell ref="A18:B18"/>
  </mergeCells>
  <dataValidations count="4">
    <dataValidation allowBlank="1" showInputMessage="1" showErrorMessage="1" prompt="List the sales categories approprate to your business" sqref="A6:B8" xr:uid="{9C82B8B4-375A-47C5-93E5-A31FF58A02CD}"/>
    <dataValidation allowBlank="1" showInputMessage="1" showErrorMessage="1" prompt="List the catagories of sales approprate to your business" sqref="C6:D30 B9:B19 A9:A30" xr:uid="{16CC48B3-4096-46A9-A018-A95E0A354D70}"/>
    <dataValidation type="list" allowBlank="1" showInputMessage="1" showErrorMessage="1" sqref="M5" xr:uid="{C86A1FAB-C705-4A0C-8BC2-75E79CA5FA35}">
      <formula1>"0.25,0.5,0.75,1,1.1,1.2,1.3,1.4,1.5,1.6,1.7,1.8,1.9,2, 2.1,2.2,2.3, 2.4,2.5"</formula1>
    </dataValidation>
    <dataValidation type="list" allowBlank="1" showInputMessage="1" showErrorMessage="1" sqref="J5" xr:uid="{C10E8B4A-3025-4E93-959F-F89B72B37177}">
      <formula1>"0%,10%,20%,25%,30%,40%,50%,60%,70%,75%,80%,90%,100%"</formula1>
    </dataValidation>
  </dataValidations>
  <pageMargins left="0.23622047244094491" right="0.23622047244094491" top="0.74803149606299213" bottom="0.74803149606299213" header="0.31496062992125984" footer="0.31496062992125984"/>
  <pageSetup scale="80" orientation="landscape" r:id="rId1"/>
  <headerFooter>
    <oddHeader>&amp;L&amp;A&amp;CSelf-Employment Assistance</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6E221-B8B1-4838-A456-B930344317B9}">
  <sheetPr codeName="Sheet10">
    <tabColor theme="1" tint="-0.249977111117893"/>
    <pageSetUpPr fitToPage="1"/>
  </sheetPr>
  <dimension ref="A1:S78"/>
  <sheetViews>
    <sheetView topLeftCell="A65" zoomScale="85" zoomScaleNormal="85" workbookViewId="0">
      <selection activeCell="A2" sqref="A2:Q2"/>
    </sheetView>
  </sheetViews>
  <sheetFormatPr defaultColWidth="9.28515625" defaultRowHeight="15"/>
  <cols>
    <col min="1" max="1" width="33.28515625" style="196" customWidth="1"/>
    <col min="2" max="2" width="14.5703125" style="196" customWidth="1"/>
    <col min="3" max="3" width="13" style="196" customWidth="1"/>
    <col min="4" max="16" width="12.7109375" style="196" customWidth="1"/>
    <col min="17" max="17" width="18.5703125" style="196" customWidth="1"/>
    <col min="18" max="18" width="12.42578125" style="196" customWidth="1"/>
    <col min="19" max="19" width="0" style="196" hidden="1" customWidth="1"/>
    <col min="20" max="16384" width="9.28515625" style="196"/>
  </cols>
  <sheetData>
    <row r="1" spans="1:19" ht="34.9" customHeight="1">
      <c r="A1" s="526" t="s">
        <v>181</v>
      </c>
      <c r="B1" s="526"/>
      <c r="C1" s="583" t="str">
        <f>'Set Up Details'!C2</f>
        <v>Test1</v>
      </c>
      <c r="D1" s="583"/>
      <c r="E1" s="583"/>
      <c r="F1" s="583"/>
      <c r="G1" s="583"/>
      <c r="H1" s="583"/>
      <c r="I1" s="583"/>
      <c r="J1" s="583"/>
      <c r="K1" s="583"/>
      <c r="L1" s="583"/>
      <c r="M1" s="583"/>
      <c r="N1" s="583"/>
      <c r="O1" s="583"/>
      <c r="P1" s="583"/>
      <c r="Q1" s="583"/>
    </row>
    <row r="2" spans="1:19" ht="34.9" customHeight="1" thickBot="1">
      <c r="A2" s="679"/>
      <c r="B2" s="679"/>
      <c r="C2" s="679"/>
      <c r="D2" s="679"/>
      <c r="E2" s="679"/>
      <c r="F2" s="679"/>
      <c r="G2" s="679"/>
      <c r="H2" s="679"/>
      <c r="I2" s="679"/>
      <c r="J2" s="679"/>
      <c r="K2" s="679"/>
      <c r="L2" s="679"/>
      <c r="M2" s="679"/>
      <c r="N2" s="679"/>
      <c r="O2" s="679"/>
      <c r="P2" s="679"/>
      <c r="Q2" s="679"/>
    </row>
    <row r="3" spans="1:19" ht="13.5" customHeight="1">
      <c r="A3" s="675" t="s">
        <v>228</v>
      </c>
      <c r="B3" s="675"/>
      <c r="C3" s="675"/>
      <c r="D3" s="675"/>
      <c r="E3" s="675"/>
      <c r="F3" s="675"/>
      <c r="G3" s="675"/>
      <c r="H3" s="675"/>
      <c r="I3" s="675"/>
      <c r="J3" s="675"/>
      <c r="K3" s="675"/>
      <c r="L3" s="675"/>
      <c r="M3" s="675"/>
      <c r="N3" s="675"/>
      <c r="O3" s="675"/>
      <c r="P3" s="675"/>
      <c r="Q3" s="675"/>
    </row>
    <row r="4" spans="1:19" ht="15.6" customHeight="1">
      <c r="A4" s="675"/>
      <c r="B4" s="675"/>
      <c r="C4" s="675"/>
      <c r="D4" s="675"/>
      <c r="E4" s="675"/>
      <c r="F4" s="675"/>
      <c r="G4" s="675"/>
      <c r="H4" s="675"/>
      <c r="I4" s="675"/>
      <c r="J4" s="675"/>
      <c r="K4" s="675"/>
      <c r="L4" s="675"/>
      <c r="M4" s="675"/>
      <c r="N4" s="675"/>
      <c r="O4" s="675"/>
      <c r="P4" s="675"/>
      <c r="Q4" s="675"/>
    </row>
    <row r="5" spans="1:19" ht="9" customHeight="1">
      <c r="A5" s="675"/>
      <c r="B5" s="675"/>
      <c r="C5" s="675"/>
      <c r="D5" s="675"/>
      <c r="E5" s="675"/>
      <c r="F5" s="675"/>
      <c r="G5" s="675"/>
      <c r="H5" s="675"/>
      <c r="I5" s="675"/>
      <c r="J5" s="675"/>
      <c r="K5" s="675"/>
      <c r="L5" s="675"/>
      <c r="M5" s="675"/>
      <c r="N5" s="675"/>
      <c r="O5" s="675"/>
      <c r="P5" s="675"/>
      <c r="Q5" s="675"/>
    </row>
    <row r="6" spans="1:19" ht="25.9" customHeight="1">
      <c r="A6" s="677" t="s">
        <v>219</v>
      </c>
      <c r="B6" s="677"/>
      <c r="C6" s="583" t="s">
        <v>229</v>
      </c>
      <c r="D6" s="488" t="str">
        <f>'Tables and Calculations'!B2</f>
        <v>Jan</v>
      </c>
      <c r="E6" s="488" t="str">
        <f>'Tables and Calculations'!C2</f>
        <v>Feb</v>
      </c>
      <c r="F6" s="488" t="str">
        <f>'Tables and Calculations'!D2</f>
        <v>Mar</v>
      </c>
      <c r="G6" s="488" t="str">
        <f>'Tables and Calculations'!E2</f>
        <v>Apr</v>
      </c>
      <c r="H6" s="488" t="str">
        <f>'Tables and Calculations'!F2</f>
        <v>May</v>
      </c>
      <c r="I6" s="488" t="str">
        <f>'Tables and Calculations'!G2</f>
        <v>Jun</v>
      </c>
      <c r="J6" s="488" t="str">
        <f>'Tables and Calculations'!H2</f>
        <v>Jul</v>
      </c>
      <c r="K6" s="488" t="str">
        <f>'Tables and Calculations'!I2</f>
        <v>Aug</v>
      </c>
      <c r="L6" s="488" t="str">
        <f>'Tables and Calculations'!J2</f>
        <v>Sep</v>
      </c>
      <c r="M6" s="488" t="str">
        <f>'Tables and Calculations'!K2</f>
        <v>Oct</v>
      </c>
      <c r="N6" s="488" t="str">
        <f>'Tables and Calculations'!L2</f>
        <v>Nov</v>
      </c>
      <c r="O6" s="488" t="str">
        <f>'Tables and Calculations'!M2</f>
        <v>Dec</v>
      </c>
      <c r="P6" s="488" t="s">
        <v>60</v>
      </c>
      <c r="Q6" s="488" t="s">
        <v>230</v>
      </c>
    </row>
    <row r="7" spans="1:19" ht="18" customHeight="1" thickBot="1">
      <c r="A7" s="677"/>
      <c r="B7" s="677"/>
      <c r="C7" s="583"/>
      <c r="D7" s="678" t="s">
        <v>231</v>
      </c>
      <c r="E7" s="678"/>
      <c r="F7" s="678"/>
      <c r="G7" s="678"/>
      <c r="H7" s="678"/>
      <c r="I7" s="678"/>
      <c r="J7" s="678"/>
      <c r="K7" s="678"/>
      <c r="L7" s="678"/>
      <c r="M7" s="678"/>
      <c r="N7" s="678"/>
      <c r="O7" s="678"/>
      <c r="P7" s="678"/>
      <c r="Q7" s="678"/>
      <c r="S7" s="196" t="s">
        <v>35</v>
      </c>
    </row>
    <row r="8" spans="1:19" ht="18" customHeight="1" thickBot="1">
      <c r="A8" s="588" t="str">
        <f>IF(ISBLANK('Sales Details'!A6)," ",('Sales Details'!A6))</f>
        <v>Test-category-1</v>
      </c>
      <c r="B8" s="588"/>
      <c r="C8" s="583"/>
      <c r="D8" s="494"/>
      <c r="E8" s="494"/>
      <c r="F8" s="494"/>
      <c r="G8" s="494"/>
      <c r="H8" s="494"/>
      <c r="I8" s="494"/>
      <c r="J8" s="494"/>
      <c r="K8" s="494"/>
      <c r="L8" s="494"/>
      <c r="M8" s="494"/>
      <c r="N8" s="494"/>
      <c r="O8" s="494"/>
      <c r="P8" s="445">
        <f t="shared" ref="P8:P22" si="0">SUM(D8:O8)</f>
        <v>0</v>
      </c>
      <c r="Q8" s="199">
        <f t="shared" ref="Q8:Q22" si="1">IF(ISERROR(P8/$P$23),0,P8/$P$23)</f>
        <v>0</v>
      </c>
      <c r="S8" s="196" t="s">
        <v>36</v>
      </c>
    </row>
    <row r="9" spans="1:19" ht="18" customHeight="1" thickBot="1">
      <c r="A9" s="588" t="str">
        <f>IF(ISBLANK('Sales Details'!A7)," ",('Sales Details'!A7))</f>
        <v>Test-category-2</v>
      </c>
      <c r="B9" s="588"/>
      <c r="C9" s="583"/>
      <c r="D9" s="494"/>
      <c r="E9" s="494"/>
      <c r="F9" s="494"/>
      <c r="G9" s="494"/>
      <c r="H9" s="494"/>
      <c r="I9" s="494"/>
      <c r="J9" s="494"/>
      <c r="K9" s="494"/>
      <c r="L9" s="494"/>
      <c r="M9" s="494"/>
      <c r="N9" s="494"/>
      <c r="O9" s="494"/>
      <c r="P9" s="445">
        <f t="shared" si="0"/>
        <v>0</v>
      </c>
      <c r="Q9" s="200">
        <f t="shared" si="1"/>
        <v>0</v>
      </c>
    </row>
    <row r="10" spans="1:19" ht="18" customHeight="1" thickBot="1">
      <c r="A10" s="588" t="str">
        <f>IF(ISBLANK('Sales Details'!A8)," ",('Sales Details'!A8))</f>
        <v>Test-category-3</v>
      </c>
      <c r="B10" s="588"/>
      <c r="C10" s="583"/>
      <c r="D10" s="494"/>
      <c r="E10" s="494"/>
      <c r="F10" s="494"/>
      <c r="G10" s="494"/>
      <c r="H10" s="494"/>
      <c r="I10" s="494"/>
      <c r="J10" s="494"/>
      <c r="K10" s="494"/>
      <c r="L10" s="494"/>
      <c r="M10" s="494"/>
      <c r="N10" s="494"/>
      <c r="O10" s="494"/>
      <c r="P10" s="445">
        <f t="shared" si="0"/>
        <v>0</v>
      </c>
      <c r="Q10" s="200">
        <f t="shared" si="1"/>
        <v>0</v>
      </c>
    </row>
    <row r="11" spans="1:19" ht="18" customHeight="1" thickBot="1">
      <c r="A11" s="588" t="str">
        <f>IF(ISBLANK('Sales Details'!A9)," ",('Sales Details'!A9))</f>
        <v xml:space="preserve"> </v>
      </c>
      <c r="B11" s="588"/>
      <c r="C11" s="583"/>
      <c r="D11" s="494"/>
      <c r="E11" s="494"/>
      <c r="F11" s="494"/>
      <c r="G11" s="494"/>
      <c r="H11" s="494"/>
      <c r="I11" s="494"/>
      <c r="J11" s="494"/>
      <c r="K11" s="494"/>
      <c r="L11" s="494"/>
      <c r="M11" s="494"/>
      <c r="N11" s="494"/>
      <c r="O11" s="494"/>
      <c r="P11" s="445">
        <f t="shared" si="0"/>
        <v>0</v>
      </c>
      <c r="Q11" s="200">
        <f t="shared" si="1"/>
        <v>0</v>
      </c>
    </row>
    <row r="12" spans="1:19" ht="18" customHeight="1" thickBot="1">
      <c r="A12" s="588" t="str">
        <f>IF(ISBLANK('Sales Details'!A10)," ",('Sales Details'!A10))</f>
        <v xml:space="preserve"> </v>
      </c>
      <c r="B12" s="588"/>
      <c r="C12" s="583"/>
      <c r="D12" s="494"/>
      <c r="E12" s="494"/>
      <c r="F12" s="494"/>
      <c r="G12" s="494"/>
      <c r="H12" s="494"/>
      <c r="I12" s="494"/>
      <c r="J12" s="494"/>
      <c r="K12" s="494"/>
      <c r="L12" s="494"/>
      <c r="M12" s="494"/>
      <c r="N12" s="494"/>
      <c r="O12" s="494"/>
      <c r="P12" s="445">
        <f t="shared" si="0"/>
        <v>0</v>
      </c>
      <c r="Q12" s="200">
        <f t="shared" si="1"/>
        <v>0</v>
      </c>
    </row>
    <row r="13" spans="1:19" ht="18" customHeight="1" thickBot="1">
      <c r="A13" s="588" t="str">
        <f>IF(ISBLANK('Sales Details'!A11)," ",('Sales Details'!A11))</f>
        <v xml:space="preserve"> </v>
      </c>
      <c r="B13" s="588"/>
      <c r="C13" s="583"/>
      <c r="D13" s="494"/>
      <c r="E13" s="494"/>
      <c r="F13" s="494"/>
      <c r="G13" s="494"/>
      <c r="H13" s="494"/>
      <c r="I13" s="494"/>
      <c r="J13" s="494"/>
      <c r="K13" s="494"/>
      <c r="L13" s="494"/>
      <c r="M13" s="494"/>
      <c r="N13" s="494"/>
      <c r="O13" s="494"/>
      <c r="P13" s="445">
        <f t="shared" si="0"/>
        <v>0</v>
      </c>
      <c r="Q13" s="200">
        <f t="shared" si="1"/>
        <v>0</v>
      </c>
    </row>
    <row r="14" spans="1:19" ht="18" customHeight="1" thickBot="1">
      <c r="A14" s="588" t="str">
        <f>IF(ISBLANK('Sales Details'!A12)," ",('Sales Details'!A12))</f>
        <v xml:space="preserve"> </v>
      </c>
      <c r="B14" s="588"/>
      <c r="C14" s="583"/>
      <c r="D14" s="494"/>
      <c r="E14" s="494"/>
      <c r="F14" s="494"/>
      <c r="G14" s="494"/>
      <c r="H14" s="494"/>
      <c r="I14" s="494"/>
      <c r="J14" s="494"/>
      <c r="K14" s="494"/>
      <c r="L14" s="494"/>
      <c r="M14" s="494"/>
      <c r="N14" s="494"/>
      <c r="O14" s="494"/>
      <c r="P14" s="445">
        <f t="shared" si="0"/>
        <v>0</v>
      </c>
      <c r="Q14" s="200">
        <f t="shared" si="1"/>
        <v>0</v>
      </c>
    </row>
    <row r="15" spans="1:19" ht="18" customHeight="1" thickBot="1">
      <c r="A15" s="588" t="str">
        <f>IF(ISBLANK('Sales Details'!A13)," ",('Sales Details'!A13))</f>
        <v xml:space="preserve"> </v>
      </c>
      <c r="B15" s="588"/>
      <c r="C15" s="583"/>
      <c r="D15" s="494"/>
      <c r="E15" s="494"/>
      <c r="F15" s="494"/>
      <c r="G15" s="494"/>
      <c r="H15" s="494"/>
      <c r="I15" s="494"/>
      <c r="J15" s="494"/>
      <c r="K15" s="494"/>
      <c r="L15" s="494"/>
      <c r="M15" s="494"/>
      <c r="N15" s="494"/>
      <c r="O15" s="494"/>
      <c r="P15" s="445">
        <f t="shared" si="0"/>
        <v>0</v>
      </c>
      <c r="Q15" s="200">
        <f t="shared" si="1"/>
        <v>0</v>
      </c>
    </row>
    <row r="16" spans="1:19" ht="18" customHeight="1" thickBot="1">
      <c r="A16" s="588" t="str">
        <f>IF(ISBLANK('Sales Details'!A14)," ",('Sales Details'!A14))</f>
        <v xml:space="preserve"> </v>
      </c>
      <c r="B16" s="588"/>
      <c r="C16" s="583"/>
      <c r="D16" s="494"/>
      <c r="E16" s="494"/>
      <c r="F16" s="494"/>
      <c r="G16" s="494"/>
      <c r="H16" s="494"/>
      <c r="I16" s="494"/>
      <c r="J16" s="494"/>
      <c r="K16" s="494"/>
      <c r="L16" s="494"/>
      <c r="M16" s="494"/>
      <c r="N16" s="494"/>
      <c r="O16" s="494"/>
      <c r="P16" s="445">
        <f t="shared" si="0"/>
        <v>0</v>
      </c>
      <c r="Q16" s="200">
        <f t="shared" si="1"/>
        <v>0</v>
      </c>
    </row>
    <row r="17" spans="1:17" ht="18" customHeight="1" thickBot="1">
      <c r="A17" s="588" t="str">
        <f>IF(ISBLANK('Sales Details'!A15)," ",('Sales Details'!A15))</f>
        <v xml:space="preserve"> </v>
      </c>
      <c r="B17" s="588"/>
      <c r="C17" s="583"/>
      <c r="D17" s="494"/>
      <c r="E17" s="494"/>
      <c r="F17" s="494"/>
      <c r="G17" s="494"/>
      <c r="H17" s="494"/>
      <c r="I17" s="494"/>
      <c r="J17" s="494"/>
      <c r="K17" s="494"/>
      <c r="L17" s="494"/>
      <c r="M17" s="494"/>
      <c r="N17" s="494"/>
      <c r="O17" s="494"/>
      <c r="P17" s="445">
        <f t="shared" si="0"/>
        <v>0</v>
      </c>
      <c r="Q17" s="200">
        <f t="shared" si="1"/>
        <v>0</v>
      </c>
    </row>
    <row r="18" spans="1:17" ht="18" customHeight="1" thickBot="1">
      <c r="A18" s="588" t="str">
        <f>IF(ISBLANK('Sales Details'!A16)," ",('Sales Details'!A16))</f>
        <v xml:space="preserve"> </v>
      </c>
      <c r="B18" s="588"/>
      <c r="C18" s="583"/>
      <c r="D18" s="494"/>
      <c r="E18" s="494"/>
      <c r="F18" s="494"/>
      <c r="G18" s="494"/>
      <c r="H18" s="494"/>
      <c r="I18" s="494"/>
      <c r="J18" s="494"/>
      <c r="K18" s="494"/>
      <c r="L18" s="494"/>
      <c r="M18" s="494"/>
      <c r="N18" s="494"/>
      <c r="O18" s="494"/>
      <c r="P18" s="445">
        <f t="shared" si="0"/>
        <v>0</v>
      </c>
      <c r="Q18" s="200">
        <f t="shared" si="1"/>
        <v>0</v>
      </c>
    </row>
    <row r="19" spans="1:17" ht="18" customHeight="1" thickBot="1">
      <c r="A19" s="588" t="str">
        <f>IF(ISBLANK('Sales Details'!A17)," ",('Sales Details'!A17))</f>
        <v xml:space="preserve"> </v>
      </c>
      <c r="B19" s="588"/>
      <c r="C19" s="583"/>
      <c r="D19" s="494"/>
      <c r="E19" s="494"/>
      <c r="F19" s="494"/>
      <c r="G19" s="494"/>
      <c r="H19" s="494"/>
      <c r="I19" s="494"/>
      <c r="J19" s="494"/>
      <c r="K19" s="494"/>
      <c r="L19" s="494"/>
      <c r="M19" s="494"/>
      <c r="N19" s="494"/>
      <c r="O19" s="494"/>
      <c r="P19" s="445">
        <f t="shared" si="0"/>
        <v>0</v>
      </c>
      <c r="Q19" s="200">
        <f t="shared" si="1"/>
        <v>0</v>
      </c>
    </row>
    <row r="20" spans="1:17" ht="18" customHeight="1" thickBot="1">
      <c r="A20" s="588" t="str">
        <f>IF(ISBLANK('Sales Details'!A18)," ",('Sales Details'!A18))</f>
        <v xml:space="preserve"> </v>
      </c>
      <c r="B20" s="588"/>
      <c r="C20" s="583"/>
      <c r="D20" s="494"/>
      <c r="E20" s="494"/>
      <c r="F20" s="494"/>
      <c r="G20" s="494"/>
      <c r="H20" s="494"/>
      <c r="I20" s="494"/>
      <c r="J20" s="494"/>
      <c r="K20" s="494"/>
      <c r="L20" s="494"/>
      <c r="M20" s="494"/>
      <c r="N20" s="494"/>
      <c r="O20" s="494"/>
      <c r="P20" s="445">
        <f t="shared" si="0"/>
        <v>0</v>
      </c>
      <c r="Q20" s="200">
        <f t="shared" si="1"/>
        <v>0</v>
      </c>
    </row>
    <row r="21" spans="1:17" ht="18" customHeight="1" thickBot="1">
      <c r="A21" s="588" t="str">
        <f>IF(ISBLANK('Sales Details'!A19)," ",('Sales Details'!A19))</f>
        <v xml:space="preserve"> </v>
      </c>
      <c r="B21" s="588"/>
      <c r="C21" s="583"/>
      <c r="D21" s="494"/>
      <c r="E21" s="494"/>
      <c r="F21" s="494"/>
      <c r="G21" s="494"/>
      <c r="H21" s="494"/>
      <c r="I21" s="494"/>
      <c r="J21" s="494"/>
      <c r="K21" s="494"/>
      <c r="L21" s="494"/>
      <c r="M21" s="494"/>
      <c r="N21" s="494"/>
      <c r="O21" s="494"/>
      <c r="P21" s="445">
        <f t="shared" si="0"/>
        <v>0</v>
      </c>
      <c r="Q21" s="200">
        <f t="shared" si="1"/>
        <v>0</v>
      </c>
    </row>
    <row r="22" spans="1:17" ht="18" customHeight="1" thickBot="1">
      <c r="A22" s="588" t="str">
        <f>IF(ISBLANK('Sales Details'!A20)," ",('Sales Details'!A20))</f>
        <v xml:space="preserve"> </v>
      </c>
      <c r="B22" s="588"/>
      <c r="C22" s="583"/>
      <c r="D22" s="494"/>
      <c r="E22" s="494"/>
      <c r="F22" s="494"/>
      <c r="G22" s="494"/>
      <c r="H22" s="494"/>
      <c r="I22" s="494"/>
      <c r="J22" s="494"/>
      <c r="K22" s="494"/>
      <c r="L22" s="494"/>
      <c r="M22" s="494"/>
      <c r="N22" s="494"/>
      <c r="O22" s="494"/>
      <c r="P22" s="445">
        <f t="shared" si="0"/>
        <v>0</v>
      </c>
      <c r="Q22" s="201">
        <f t="shared" si="1"/>
        <v>0</v>
      </c>
    </row>
    <row r="23" spans="1:17" ht="25.15" customHeight="1" thickBot="1">
      <c r="A23" s="674" t="s">
        <v>232</v>
      </c>
      <c r="B23" s="674"/>
      <c r="C23" s="674"/>
      <c r="D23" s="445">
        <f t="shared" ref="D23:P23" si="2">SUM(D8:D22)</f>
        <v>0</v>
      </c>
      <c r="E23" s="445">
        <f t="shared" si="2"/>
        <v>0</v>
      </c>
      <c r="F23" s="445">
        <f t="shared" si="2"/>
        <v>0</v>
      </c>
      <c r="G23" s="445">
        <f t="shared" si="2"/>
        <v>0</v>
      </c>
      <c r="H23" s="445">
        <f t="shared" si="2"/>
        <v>0</v>
      </c>
      <c r="I23" s="445">
        <f t="shared" si="2"/>
        <v>0</v>
      </c>
      <c r="J23" s="445">
        <f t="shared" si="2"/>
        <v>0</v>
      </c>
      <c r="K23" s="445">
        <f t="shared" si="2"/>
        <v>0</v>
      </c>
      <c r="L23" s="445">
        <f t="shared" si="2"/>
        <v>0</v>
      </c>
      <c r="M23" s="445">
        <f t="shared" si="2"/>
        <v>0</v>
      </c>
      <c r="N23" s="445">
        <f t="shared" si="2"/>
        <v>0</v>
      </c>
      <c r="O23" s="445">
        <f t="shared" si="2"/>
        <v>0</v>
      </c>
      <c r="P23" s="445">
        <f t="shared" si="2"/>
        <v>0</v>
      </c>
      <c r="Q23" s="202">
        <f>Q8+Q9+Q10+Q11+Q12+Q13+Q14+Q15+Q16+Q17+Q18+Q19+Q20+Q21+Q22</f>
        <v>0</v>
      </c>
    </row>
    <row r="24" spans="1:17" ht="15" customHeight="1" thickBot="1"/>
    <row r="25" spans="1:17" ht="32.65" customHeight="1" thickBot="1">
      <c r="A25" s="203" t="s">
        <v>233</v>
      </c>
      <c r="B25" s="194" t="s">
        <v>234</v>
      </c>
      <c r="C25" s="194" t="s">
        <v>235</v>
      </c>
      <c r="D25" s="204" t="str">
        <f>D6</f>
        <v>Jan</v>
      </c>
      <c r="E25" s="204" t="str">
        <f t="shared" ref="E25:P25" si="3">E6</f>
        <v>Feb</v>
      </c>
      <c r="F25" s="204" t="str">
        <f t="shared" si="3"/>
        <v>Mar</v>
      </c>
      <c r="G25" s="204" t="str">
        <f t="shared" si="3"/>
        <v>Apr</v>
      </c>
      <c r="H25" s="204" t="str">
        <f t="shared" si="3"/>
        <v>May</v>
      </c>
      <c r="I25" s="204" t="str">
        <f t="shared" si="3"/>
        <v>Jun</v>
      </c>
      <c r="J25" s="204" t="str">
        <f t="shared" si="3"/>
        <v>Jul</v>
      </c>
      <c r="K25" s="204" t="str">
        <f t="shared" si="3"/>
        <v>Aug</v>
      </c>
      <c r="L25" s="204" t="str">
        <f t="shared" si="3"/>
        <v>Sep</v>
      </c>
      <c r="M25" s="204" t="str">
        <f t="shared" si="3"/>
        <v>Oct</v>
      </c>
      <c r="N25" s="204" t="str">
        <f t="shared" si="3"/>
        <v>Nov</v>
      </c>
      <c r="O25" s="204" t="str">
        <f t="shared" si="3"/>
        <v>Dec</v>
      </c>
      <c r="P25" s="205" t="str">
        <f t="shared" si="3"/>
        <v>Total</v>
      </c>
      <c r="Q25" s="198" t="s">
        <v>236</v>
      </c>
    </row>
    <row r="26" spans="1:17" ht="18" customHeight="1" thickBot="1">
      <c r="A26" s="497" t="str">
        <f>IF(ISBLANK('Sales Details'!A6)," ",('Sales Details'!A6))</f>
        <v>Test-category-1</v>
      </c>
      <c r="B26" s="495"/>
      <c r="C26" s="206">
        <f>'Sales Details'!C6</f>
        <v>10000</v>
      </c>
      <c r="D26" s="443">
        <f t="shared" ref="D26:O40" si="4">INT($C26*D8)</f>
        <v>0</v>
      </c>
      <c r="E26" s="443">
        <f t="shared" si="4"/>
        <v>0</v>
      </c>
      <c r="F26" s="443">
        <f t="shared" si="4"/>
        <v>0</v>
      </c>
      <c r="G26" s="443">
        <f t="shared" si="4"/>
        <v>0</v>
      </c>
      <c r="H26" s="443">
        <f t="shared" si="4"/>
        <v>0</v>
      </c>
      <c r="I26" s="443">
        <f t="shared" si="4"/>
        <v>0</v>
      </c>
      <c r="J26" s="443">
        <f t="shared" si="4"/>
        <v>0</v>
      </c>
      <c r="K26" s="443">
        <f t="shared" si="4"/>
        <v>0</v>
      </c>
      <c r="L26" s="443">
        <f t="shared" si="4"/>
        <v>0</v>
      </c>
      <c r="M26" s="443">
        <f t="shared" si="4"/>
        <v>0</v>
      </c>
      <c r="N26" s="443">
        <f t="shared" si="4"/>
        <v>0</v>
      </c>
      <c r="O26" s="443">
        <f t="shared" si="4"/>
        <v>0</v>
      </c>
      <c r="P26" s="445">
        <f t="shared" ref="P26:P40" si="5">SUM(D26:O26)</f>
        <v>0</v>
      </c>
      <c r="Q26" s="207">
        <f t="shared" ref="Q26:Q40" si="6">IF(ISERROR(P26/$P$41),0,P26/$P$41)</f>
        <v>0</v>
      </c>
    </row>
    <row r="27" spans="1:17" ht="18" customHeight="1" thickBot="1">
      <c r="A27" s="497" t="str">
        <f>IF(ISBLANK('Sales Details'!A7)," ",('Sales Details'!A7))</f>
        <v>Test-category-2</v>
      </c>
      <c r="B27" s="495"/>
      <c r="C27" s="206">
        <f>'Sales Details'!C7</f>
        <v>5000</v>
      </c>
      <c r="D27" s="443">
        <f t="shared" si="4"/>
        <v>0</v>
      </c>
      <c r="E27" s="443">
        <f t="shared" si="4"/>
        <v>0</v>
      </c>
      <c r="F27" s="443">
        <f t="shared" si="4"/>
        <v>0</v>
      </c>
      <c r="G27" s="443">
        <f t="shared" si="4"/>
        <v>0</v>
      </c>
      <c r="H27" s="443">
        <f t="shared" si="4"/>
        <v>0</v>
      </c>
      <c r="I27" s="443">
        <f t="shared" si="4"/>
        <v>0</v>
      </c>
      <c r="J27" s="443">
        <f t="shared" si="4"/>
        <v>0</v>
      </c>
      <c r="K27" s="443">
        <f t="shared" si="4"/>
        <v>0</v>
      </c>
      <c r="L27" s="443">
        <f t="shared" si="4"/>
        <v>0</v>
      </c>
      <c r="M27" s="443">
        <f t="shared" si="4"/>
        <v>0</v>
      </c>
      <c r="N27" s="443">
        <f t="shared" si="4"/>
        <v>0</v>
      </c>
      <c r="O27" s="443">
        <f t="shared" si="4"/>
        <v>0</v>
      </c>
      <c r="P27" s="445">
        <f t="shared" si="5"/>
        <v>0</v>
      </c>
      <c r="Q27" s="208">
        <f t="shared" si="6"/>
        <v>0</v>
      </c>
    </row>
    <row r="28" spans="1:17" ht="18" customHeight="1" thickBot="1">
      <c r="A28" s="497" t="str">
        <f>IF(ISBLANK('Sales Details'!A8)," ",('Sales Details'!A8))</f>
        <v>Test-category-3</v>
      </c>
      <c r="B28" s="495"/>
      <c r="C28" s="206">
        <f>'Sales Details'!C8</f>
        <v>4000</v>
      </c>
      <c r="D28" s="443">
        <f t="shared" si="4"/>
        <v>0</v>
      </c>
      <c r="E28" s="443">
        <f t="shared" si="4"/>
        <v>0</v>
      </c>
      <c r="F28" s="443">
        <f t="shared" si="4"/>
        <v>0</v>
      </c>
      <c r="G28" s="443">
        <f t="shared" si="4"/>
        <v>0</v>
      </c>
      <c r="H28" s="443">
        <f t="shared" si="4"/>
        <v>0</v>
      </c>
      <c r="I28" s="443">
        <f t="shared" si="4"/>
        <v>0</v>
      </c>
      <c r="J28" s="443">
        <f t="shared" si="4"/>
        <v>0</v>
      </c>
      <c r="K28" s="443">
        <f t="shared" si="4"/>
        <v>0</v>
      </c>
      <c r="L28" s="443">
        <f t="shared" si="4"/>
        <v>0</v>
      </c>
      <c r="M28" s="443">
        <f t="shared" si="4"/>
        <v>0</v>
      </c>
      <c r="N28" s="443">
        <f t="shared" si="4"/>
        <v>0</v>
      </c>
      <c r="O28" s="443">
        <f t="shared" si="4"/>
        <v>0</v>
      </c>
      <c r="P28" s="445">
        <f t="shared" si="5"/>
        <v>0</v>
      </c>
      <c r="Q28" s="208">
        <f t="shared" si="6"/>
        <v>0</v>
      </c>
    </row>
    <row r="29" spans="1:17" ht="18" customHeight="1" thickBot="1">
      <c r="A29" s="497" t="str">
        <f>IF(ISBLANK('Sales Details'!A9)," ",('Sales Details'!A9))</f>
        <v xml:space="preserve"> </v>
      </c>
      <c r="B29" s="495"/>
      <c r="C29" s="206">
        <f>'Sales Details'!C9</f>
        <v>0</v>
      </c>
      <c r="D29" s="443">
        <f t="shared" si="4"/>
        <v>0</v>
      </c>
      <c r="E29" s="443">
        <f t="shared" si="4"/>
        <v>0</v>
      </c>
      <c r="F29" s="443">
        <f t="shared" si="4"/>
        <v>0</v>
      </c>
      <c r="G29" s="443">
        <f t="shared" si="4"/>
        <v>0</v>
      </c>
      <c r="H29" s="443">
        <f t="shared" si="4"/>
        <v>0</v>
      </c>
      <c r="I29" s="443">
        <f t="shared" si="4"/>
        <v>0</v>
      </c>
      <c r="J29" s="443">
        <f t="shared" si="4"/>
        <v>0</v>
      </c>
      <c r="K29" s="443">
        <f t="shared" si="4"/>
        <v>0</v>
      </c>
      <c r="L29" s="443">
        <f t="shared" si="4"/>
        <v>0</v>
      </c>
      <c r="M29" s="443">
        <f t="shared" si="4"/>
        <v>0</v>
      </c>
      <c r="N29" s="443">
        <f t="shared" si="4"/>
        <v>0</v>
      </c>
      <c r="O29" s="443">
        <f t="shared" si="4"/>
        <v>0</v>
      </c>
      <c r="P29" s="445">
        <f t="shared" si="5"/>
        <v>0</v>
      </c>
      <c r="Q29" s="208">
        <f t="shared" si="6"/>
        <v>0</v>
      </c>
    </row>
    <row r="30" spans="1:17" ht="18" customHeight="1" thickBot="1">
      <c r="A30" s="497" t="str">
        <f>IF(ISBLANK('Sales Details'!A10)," ",('Sales Details'!A10))</f>
        <v xml:space="preserve"> </v>
      </c>
      <c r="B30" s="495"/>
      <c r="C30" s="206">
        <f>'Sales Details'!C10</f>
        <v>0</v>
      </c>
      <c r="D30" s="443">
        <f t="shared" si="4"/>
        <v>0</v>
      </c>
      <c r="E30" s="443">
        <f t="shared" si="4"/>
        <v>0</v>
      </c>
      <c r="F30" s="443">
        <f t="shared" si="4"/>
        <v>0</v>
      </c>
      <c r="G30" s="443">
        <f t="shared" si="4"/>
        <v>0</v>
      </c>
      <c r="H30" s="443">
        <f t="shared" si="4"/>
        <v>0</v>
      </c>
      <c r="I30" s="443">
        <f t="shared" si="4"/>
        <v>0</v>
      </c>
      <c r="J30" s="443">
        <f t="shared" si="4"/>
        <v>0</v>
      </c>
      <c r="K30" s="443">
        <f t="shared" si="4"/>
        <v>0</v>
      </c>
      <c r="L30" s="443">
        <f t="shared" si="4"/>
        <v>0</v>
      </c>
      <c r="M30" s="443">
        <f t="shared" si="4"/>
        <v>0</v>
      </c>
      <c r="N30" s="443">
        <f t="shared" si="4"/>
        <v>0</v>
      </c>
      <c r="O30" s="443">
        <f t="shared" si="4"/>
        <v>0</v>
      </c>
      <c r="P30" s="445">
        <f t="shared" si="5"/>
        <v>0</v>
      </c>
      <c r="Q30" s="208">
        <f t="shared" si="6"/>
        <v>0</v>
      </c>
    </row>
    <row r="31" spans="1:17" ht="18" customHeight="1" thickBot="1">
      <c r="A31" s="497" t="str">
        <f>IF(ISBLANK('Sales Details'!A11)," ",('Sales Details'!A11))</f>
        <v xml:space="preserve"> </v>
      </c>
      <c r="B31" s="495"/>
      <c r="C31" s="206">
        <f>'Sales Details'!C11</f>
        <v>0</v>
      </c>
      <c r="D31" s="443">
        <f t="shared" si="4"/>
        <v>0</v>
      </c>
      <c r="E31" s="443">
        <f t="shared" si="4"/>
        <v>0</v>
      </c>
      <c r="F31" s="443">
        <f t="shared" si="4"/>
        <v>0</v>
      </c>
      <c r="G31" s="443">
        <f t="shared" si="4"/>
        <v>0</v>
      </c>
      <c r="H31" s="443">
        <f t="shared" si="4"/>
        <v>0</v>
      </c>
      <c r="I31" s="443">
        <f t="shared" si="4"/>
        <v>0</v>
      </c>
      <c r="J31" s="443">
        <f t="shared" si="4"/>
        <v>0</v>
      </c>
      <c r="K31" s="443">
        <f t="shared" si="4"/>
        <v>0</v>
      </c>
      <c r="L31" s="443">
        <f t="shared" si="4"/>
        <v>0</v>
      </c>
      <c r="M31" s="443">
        <f t="shared" si="4"/>
        <v>0</v>
      </c>
      <c r="N31" s="443">
        <f t="shared" si="4"/>
        <v>0</v>
      </c>
      <c r="O31" s="443">
        <f t="shared" si="4"/>
        <v>0</v>
      </c>
      <c r="P31" s="445">
        <f t="shared" si="5"/>
        <v>0</v>
      </c>
      <c r="Q31" s="208">
        <f t="shared" si="6"/>
        <v>0</v>
      </c>
    </row>
    <row r="32" spans="1:17" ht="18" customHeight="1" thickBot="1">
      <c r="A32" s="497" t="str">
        <f>IF(ISBLANK('Sales Details'!A12)," ",('Sales Details'!A12))</f>
        <v xml:space="preserve"> </v>
      </c>
      <c r="B32" s="495"/>
      <c r="C32" s="206">
        <f>'Sales Details'!C12</f>
        <v>0</v>
      </c>
      <c r="D32" s="443">
        <f t="shared" si="4"/>
        <v>0</v>
      </c>
      <c r="E32" s="443">
        <f t="shared" si="4"/>
        <v>0</v>
      </c>
      <c r="F32" s="443">
        <f t="shared" si="4"/>
        <v>0</v>
      </c>
      <c r="G32" s="443">
        <f t="shared" si="4"/>
        <v>0</v>
      </c>
      <c r="H32" s="443">
        <f t="shared" si="4"/>
        <v>0</v>
      </c>
      <c r="I32" s="443">
        <f t="shared" si="4"/>
        <v>0</v>
      </c>
      <c r="J32" s="443">
        <f t="shared" si="4"/>
        <v>0</v>
      </c>
      <c r="K32" s="443">
        <f t="shared" si="4"/>
        <v>0</v>
      </c>
      <c r="L32" s="443">
        <f t="shared" si="4"/>
        <v>0</v>
      </c>
      <c r="M32" s="443">
        <f t="shared" si="4"/>
        <v>0</v>
      </c>
      <c r="N32" s="443">
        <f t="shared" si="4"/>
        <v>0</v>
      </c>
      <c r="O32" s="443">
        <f t="shared" si="4"/>
        <v>0</v>
      </c>
      <c r="P32" s="445">
        <f t="shared" si="5"/>
        <v>0</v>
      </c>
      <c r="Q32" s="208">
        <f t="shared" si="6"/>
        <v>0</v>
      </c>
    </row>
    <row r="33" spans="1:17" ht="18" customHeight="1" thickBot="1">
      <c r="A33" s="497" t="str">
        <f>IF(ISBLANK('Sales Details'!A13)," ",('Sales Details'!A13))</f>
        <v xml:space="preserve"> </v>
      </c>
      <c r="B33" s="495"/>
      <c r="C33" s="206">
        <f>'Sales Details'!C13</f>
        <v>0</v>
      </c>
      <c r="D33" s="443">
        <f t="shared" si="4"/>
        <v>0</v>
      </c>
      <c r="E33" s="443">
        <f t="shared" si="4"/>
        <v>0</v>
      </c>
      <c r="F33" s="443">
        <f t="shared" si="4"/>
        <v>0</v>
      </c>
      <c r="G33" s="443">
        <f t="shared" si="4"/>
        <v>0</v>
      </c>
      <c r="H33" s="443">
        <f t="shared" si="4"/>
        <v>0</v>
      </c>
      <c r="I33" s="443">
        <f t="shared" si="4"/>
        <v>0</v>
      </c>
      <c r="J33" s="443">
        <f t="shared" si="4"/>
        <v>0</v>
      </c>
      <c r="K33" s="443">
        <f t="shared" si="4"/>
        <v>0</v>
      </c>
      <c r="L33" s="443">
        <f t="shared" si="4"/>
        <v>0</v>
      </c>
      <c r="M33" s="443">
        <f t="shared" si="4"/>
        <v>0</v>
      </c>
      <c r="N33" s="443">
        <f t="shared" si="4"/>
        <v>0</v>
      </c>
      <c r="O33" s="443">
        <f t="shared" si="4"/>
        <v>0</v>
      </c>
      <c r="P33" s="445">
        <f t="shared" si="5"/>
        <v>0</v>
      </c>
      <c r="Q33" s="208">
        <f t="shared" si="6"/>
        <v>0</v>
      </c>
    </row>
    <row r="34" spans="1:17" ht="18" customHeight="1" thickBot="1">
      <c r="A34" s="497" t="str">
        <f>IF(ISBLANK('Sales Details'!A14)," ",('Sales Details'!A14))</f>
        <v xml:space="preserve"> </v>
      </c>
      <c r="B34" s="495"/>
      <c r="C34" s="206">
        <f>'Sales Details'!C14</f>
        <v>0</v>
      </c>
      <c r="D34" s="443">
        <f t="shared" si="4"/>
        <v>0</v>
      </c>
      <c r="E34" s="443">
        <f t="shared" si="4"/>
        <v>0</v>
      </c>
      <c r="F34" s="443">
        <f t="shared" si="4"/>
        <v>0</v>
      </c>
      <c r="G34" s="443">
        <f t="shared" si="4"/>
        <v>0</v>
      </c>
      <c r="H34" s="443">
        <f t="shared" si="4"/>
        <v>0</v>
      </c>
      <c r="I34" s="443">
        <f t="shared" si="4"/>
        <v>0</v>
      </c>
      <c r="J34" s="443">
        <f t="shared" si="4"/>
        <v>0</v>
      </c>
      <c r="K34" s="443">
        <f t="shared" si="4"/>
        <v>0</v>
      </c>
      <c r="L34" s="443"/>
      <c r="M34" s="443">
        <f t="shared" si="4"/>
        <v>0</v>
      </c>
      <c r="N34" s="443">
        <f t="shared" si="4"/>
        <v>0</v>
      </c>
      <c r="O34" s="443">
        <f t="shared" si="4"/>
        <v>0</v>
      </c>
      <c r="P34" s="445">
        <f t="shared" si="5"/>
        <v>0</v>
      </c>
      <c r="Q34" s="208">
        <f t="shared" si="6"/>
        <v>0</v>
      </c>
    </row>
    <row r="35" spans="1:17" ht="18" customHeight="1" thickBot="1">
      <c r="A35" s="497" t="str">
        <f>IF(ISBLANK('Sales Details'!A15)," ",('Sales Details'!A15))</f>
        <v xml:space="preserve"> </v>
      </c>
      <c r="B35" s="495"/>
      <c r="C35" s="206">
        <f>'Sales Details'!C15</f>
        <v>0</v>
      </c>
      <c r="D35" s="443">
        <f t="shared" si="4"/>
        <v>0</v>
      </c>
      <c r="E35" s="443">
        <f t="shared" si="4"/>
        <v>0</v>
      </c>
      <c r="F35" s="443">
        <f t="shared" si="4"/>
        <v>0</v>
      </c>
      <c r="G35" s="443">
        <f t="shared" si="4"/>
        <v>0</v>
      </c>
      <c r="H35" s="443">
        <f t="shared" si="4"/>
        <v>0</v>
      </c>
      <c r="I35" s="443">
        <f t="shared" si="4"/>
        <v>0</v>
      </c>
      <c r="J35" s="443">
        <f t="shared" si="4"/>
        <v>0</v>
      </c>
      <c r="K35" s="443">
        <f t="shared" si="4"/>
        <v>0</v>
      </c>
      <c r="L35" s="443">
        <f t="shared" si="4"/>
        <v>0</v>
      </c>
      <c r="M35" s="443">
        <f t="shared" si="4"/>
        <v>0</v>
      </c>
      <c r="N35" s="443">
        <f t="shared" si="4"/>
        <v>0</v>
      </c>
      <c r="O35" s="443">
        <f t="shared" si="4"/>
        <v>0</v>
      </c>
      <c r="P35" s="445">
        <f t="shared" si="5"/>
        <v>0</v>
      </c>
      <c r="Q35" s="208">
        <f t="shared" si="6"/>
        <v>0</v>
      </c>
    </row>
    <row r="36" spans="1:17" ht="18" customHeight="1" thickBot="1">
      <c r="A36" s="497" t="str">
        <f>IF(ISBLANK('Sales Details'!A16)," ",('Sales Details'!A16))</f>
        <v xml:space="preserve"> </v>
      </c>
      <c r="B36" s="495"/>
      <c r="C36" s="206">
        <f>'Sales Details'!C16</f>
        <v>0</v>
      </c>
      <c r="D36" s="443">
        <f t="shared" si="4"/>
        <v>0</v>
      </c>
      <c r="E36" s="443">
        <f t="shared" si="4"/>
        <v>0</v>
      </c>
      <c r="F36" s="443">
        <f t="shared" si="4"/>
        <v>0</v>
      </c>
      <c r="G36" s="443">
        <f t="shared" si="4"/>
        <v>0</v>
      </c>
      <c r="H36" s="443">
        <f t="shared" si="4"/>
        <v>0</v>
      </c>
      <c r="I36" s="443">
        <f t="shared" si="4"/>
        <v>0</v>
      </c>
      <c r="J36" s="443">
        <f t="shared" si="4"/>
        <v>0</v>
      </c>
      <c r="K36" s="443">
        <f t="shared" si="4"/>
        <v>0</v>
      </c>
      <c r="L36" s="443">
        <f t="shared" si="4"/>
        <v>0</v>
      </c>
      <c r="M36" s="443">
        <f t="shared" si="4"/>
        <v>0</v>
      </c>
      <c r="N36" s="443">
        <f t="shared" si="4"/>
        <v>0</v>
      </c>
      <c r="O36" s="443">
        <f t="shared" si="4"/>
        <v>0</v>
      </c>
      <c r="P36" s="445">
        <f t="shared" si="5"/>
        <v>0</v>
      </c>
      <c r="Q36" s="208">
        <f t="shared" si="6"/>
        <v>0</v>
      </c>
    </row>
    <row r="37" spans="1:17" ht="18" customHeight="1" thickBot="1">
      <c r="A37" s="497" t="str">
        <f>IF(ISBLANK('Sales Details'!A17)," ",('Sales Details'!A17))</f>
        <v xml:space="preserve"> </v>
      </c>
      <c r="B37" s="495"/>
      <c r="C37" s="206">
        <f>'Sales Details'!C17</f>
        <v>0</v>
      </c>
      <c r="D37" s="443">
        <f t="shared" si="4"/>
        <v>0</v>
      </c>
      <c r="E37" s="443">
        <f t="shared" si="4"/>
        <v>0</v>
      </c>
      <c r="F37" s="443">
        <f t="shared" si="4"/>
        <v>0</v>
      </c>
      <c r="G37" s="443">
        <f t="shared" si="4"/>
        <v>0</v>
      </c>
      <c r="H37" s="443">
        <f t="shared" si="4"/>
        <v>0</v>
      </c>
      <c r="I37" s="443">
        <f t="shared" si="4"/>
        <v>0</v>
      </c>
      <c r="J37" s="443">
        <f t="shared" si="4"/>
        <v>0</v>
      </c>
      <c r="K37" s="443">
        <f t="shared" si="4"/>
        <v>0</v>
      </c>
      <c r="L37" s="443">
        <f t="shared" si="4"/>
        <v>0</v>
      </c>
      <c r="M37" s="443">
        <f t="shared" si="4"/>
        <v>0</v>
      </c>
      <c r="N37" s="443">
        <f t="shared" si="4"/>
        <v>0</v>
      </c>
      <c r="O37" s="443">
        <f t="shared" si="4"/>
        <v>0</v>
      </c>
      <c r="P37" s="445">
        <f t="shared" si="5"/>
        <v>0</v>
      </c>
      <c r="Q37" s="208">
        <f t="shared" si="6"/>
        <v>0</v>
      </c>
    </row>
    <row r="38" spans="1:17" ht="18" customHeight="1" thickBot="1">
      <c r="A38" s="497" t="str">
        <f>IF(ISBLANK('Sales Details'!A18)," ",('Sales Details'!A18))</f>
        <v xml:space="preserve"> </v>
      </c>
      <c r="B38" s="495"/>
      <c r="C38" s="206">
        <f>'Sales Details'!C18</f>
        <v>0</v>
      </c>
      <c r="D38" s="443">
        <f t="shared" si="4"/>
        <v>0</v>
      </c>
      <c r="E38" s="443">
        <f t="shared" si="4"/>
        <v>0</v>
      </c>
      <c r="F38" s="443">
        <f t="shared" si="4"/>
        <v>0</v>
      </c>
      <c r="G38" s="443">
        <f t="shared" si="4"/>
        <v>0</v>
      </c>
      <c r="H38" s="443">
        <f t="shared" si="4"/>
        <v>0</v>
      </c>
      <c r="I38" s="443">
        <f t="shared" si="4"/>
        <v>0</v>
      </c>
      <c r="J38" s="443">
        <f t="shared" si="4"/>
        <v>0</v>
      </c>
      <c r="K38" s="443">
        <f t="shared" si="4"/>
        <v>0</v>
      </c>
      <c r="L38" s="443">
        <f t="shared" si="4"/>
        <v>0</v>
      </c>
      <c r="M38" s="443">
        <f t="shared" si="4"/>
        <v>0</v>
      </c>
      <c r="N38" s="443">
        <f t="shared" si="4"/>
        <v>0</v>
      </c>
      <c r="O38" s="443">
        <f t="shared" si="4"/>
        <v>0</v>
      </c>
      <c r="P38" s="445">
        <f t="shared" si="5"/>
        <v>0</v>
      </c>
      <c r="Q38" s="208">
        <f t="shared" si="6"/>
        <v>0</v>
      </c>
    </row>
    <row r="39" spans="1:17" ht="18" customHeight="1" thickBot="1">
      <c r="A39" s="497" t="str">
        <f>IF(ISBLANK('Sales Details'!A19)," ",('Sales Details'!A19))</f>
        <v xml:space="preserve"> </v>
      </c>
      <c r="B39" s="495"/>
      <c r="C39" s="206">
        <f>'Sales Details'!C19</f>
        <v>0</v>
      </c>
      <c r="D39" s="443">
        <f t="shared" si="4"/>
        <v>0</v>
      </c>
      <c r="E39" s="443">
        <f t="shared" si="4"/>
        <v>0</v>
      </c>
      <c r="F39" s="443">
        <f t="shared" si="4"/>
        <v>0</v>
      </c>
      <c r="G39" s="443">
        <f t="shared" si="4"/>
        <v>0</v>
      </c>
      <c r="H39" s="443">
        <f t="shared" si="4"/>
        <v>0</v>
      </c>
      <c r="I39" s="443">
        <f t="shared" si="4"/>
        <v>0</v>
      </c>
      <c r="J39" s="443">
        <f t="shared" si="4"/>
        <v>0</v>
      </c>
      <c r="K39" s="443">
        <f t="shared" si="4"/>
        <v>0</v>
      </c>
      <c r="L39" s="443">
        <f t="shared" si="4"/>
        <v>0</v>
      </c>
      <c r="M39" s="443">
        <f t="shared" si="4"/>
        <v>0</v>
      </c>
      <c r="N39" s="443">
        <f t="shared" si="4"/>
        <v>0</v>
      </c>
      <c r="O39" s="443">
        <f t="shared" si="4"/>
        <v>0</v>
      </c>
      <c r="P39" s="445">
        <f t="shared" si="5"/>
        <v>0</v>
      </c>
      <c r="Q39" s="208">
        <f t="shared" si="6"/>
        <v>0</v>
      </c>
    </row>
    <row r="40" spans="1:17" ht="18" customHeight="1" thickBot="1">
      <c r="A40" s="497" t="str">
        <f>IF(ISBLANK('Sales Details'!A20)," ",('Sales Details'!A20))</f>
        <v xml:space="preserve"> </v>
      </c>
      <c r="B40" s="495"/>
      <c r="C40" s="206">
        <f>'Sales Details'!C20</f>
        <v>0</v>
      </c>
      <c r="D40" s="443">
        <f t="shared" si="4"/>
        <v>0</v>
      </c>
      <c r="E40" s="443">
        <f t="shared" si="4"/>
        <v>0</v>
      </c>
      <c r="F40" s="443">
        <f t="shared" si="4"/>
        <v>0</v>
      </c>
      <c r="G40" s="443">
        <f t="shared" si="4"/>
        <v>0</v>
      </c>
      <c r="H40" s="443">
        <f t="shared" si="4"/>
        <v>0</v>
      </c>
      <c r="I40" s="443">
        <f t="shared" si="4"/>
        <v>0</v>
      </c>
      <c r="J40" s="443">
        <f t="shared" si="4"/>
        <v>0</v>
      </c>
      <c r="K40" s="443">
        <f t="shared" si="4"/>
        <v>0</v>
      </c>
      <c r="L40" s="443">
        <f t="shared" si="4"/>
        <v>0</v>
      </c>
      <c r="M40" s="443">
        <f t="shared" si="4"/>
        <v>0</v>
      </c>
      <c r="N40" s="443">
        <f t="shared" si="4"/>
        <v>0</v>
      </c>
      <c r="O40" s="443">
        <f t="shared" si="4"/>
        <v>0</v>
      </c>
      <c r="P40" s="445">
        <f t="shared" si="5"/>
        <v>0</v>
      </c>
      <c r="Q40" s="209">
        <f t="shared" si="6"/>
        <v>0</v>
      </c>
    </row>
    <row r="41" spans="1:17" ht="25.15" customHeight="1" thickBot="1">
      <c r="A41" s="674" t="s">
        <v>237</v>
      </c>
      <c r="B41" s="674"/>
      <c r="C41" s="674"/>
      <c r="D41" s="445">
        <f t="shared" ref="D41:P41" si="7">ROUND(SUM(D26:D40),0)</f>
        <v>0</v>
      </c>
      <c r="E41" s="445">
        <f t="shared" si="7"/>
        <v>0</v>
      </c>
      <c r="F41" s="445">
        <f t="shared" si="7"/>
        <v>0</v>
      </c>
      <c r="G41" s="445">
        <f t="shared" si="7"/>
        <v>0</v>
      </c>
      <c r="H41" s="445">
        <f t="shared" si="7"/>
        <v>0</v>
      </c>
      <c r="I41" s="445">
        <f t="shared" si="7"/>
        <v>0</v>
      </c>
      <c r="J41" s="445">
        <f t="shared" si="7"/>
        <v>0</v>
      </c>
      <c r="K41" s="445">
        <f t="shared" si="7"/>
        <v>0</v>
      </c>
      <c r="L41" s="445">
        <f t="shared" si="7"/>
        <v>0</v>
      </c>
      <c r="M41" s="445">
        <f t="shared" si="7"/>
        <v>0</v>
      </c>
      <c r="N41" s="445">
        <f t="shared" si="7"/>
        <v>0</v>
      </c>
      <c r="O41" s="445">
        <f t="shared" si="7"/>
        <v>0</v>
      </c>
      <c r="P41" s="445">
        <f t="shared" si="7"/>
        <v>0</v>
      </c>
      <c r="Q41" s="202">
        <f>Q26+Q27+Q28+Q29+Q30+Q31+Q32+Q33+Q34+Q35+Q36+Q37+Q38+Q39+Q40</f>
        <v>0</v>
      </c>
    </row>
    <row r="42" spans="1:17" ht="15" customHeight="1" thickBot="1"/>
    <row r="43" spans="1:17" ht="22.9" customHeight="1" thickBot="1">
      <c r="A43" s="674" t="s">
        <v>238</v>
      </c>
      <c r="B43" s="674"/>
      <c r="C43" s="674"/>
      <c r="D43" s="445" t="e">
        <f>'Debtors analysis'!C22</f>
        <v>#VALUE!</v>
      </c>
      <c r="E43" s="445" t="e">
        <f>'Debtors analysis'!D22</f>
        <v>#VALUE!</v>
      </c>
      <c r="F43" s="445" t="e">
        <f>'Debtors analysis'!E22</f>
        <v>#VALUE!</v>
      </c>
      <c r="G43" s="445" t="e">
        <f>'Debtors analysis'!F22</f>
        <v>#VALUE!</v>
      </c>
      <c r="H43" s="445" t="e">
        <f>'Debtors analysis'!G22</f>
        <v>#VALUE!</v>
      </c>
      <c r="I43" s="445" t="e">
        <f>'Debtors analysis'!H22</f>
        <v>#VALUE!</v>
      </c>
      <c r="J43" s="445" t="e">
        <f>'Debtors analysis'!I22</f>
        <v>#VALUE!</v>
      </c>
      <c r="K43" s="445" t="e">
        <f>'Debtors analysis'!J22</f>
        <v>#VALUE!</v>
      </c>
      <c r="L43" s="445" t="e">
        <f>'Debtors analysis'!K22</f>
        <v>#VALUE!</v>
      </c>
      <c r="M43" s="445" t="e">
        <f>'Debtors analysis'!L22</f>
        <v>#VALUE!</v>
      </c>
      <c r="N43" s="445" t="e">
        <f>'Debtors analysis'!M22</f>
        <v>#VALUE!</v>
      </c>
      <c r="O43" s="445" t="e">
        <f>'Debtors analysis'!N22</f>
        <v>#VALUE!</v>
      </c>
      <c r="P43" s="445" t="e">
        <f>SUM(D43:O43)</f>
        <v>#VALUE!</v>
      </c>
    </row>
    <row r="44" spans="1:17" ht="15" customHeight="1"/>
    <row r="45" spans="1:17" ht="38.25" customHeight="1" thickBot="1">
      <c r="A45" s="675" t="s">
        <v>239</v>
      </c>
      <c r="B45" s="675"/>
      <c r="C45" s="675"/>
      <c r="D45" s="675"/>
      <c r="E45" s="675"/>
      <c r="F45" s="675"/>
      <c r="G45" s="675"/>
      <c r="H45" s="675"/>
      <c r="I45" s="675"/>
      <c r="J45" s="675"/>
      <c r="K45" s="675"/>
      <c r="L45" s="675"/>
      <c r="M45" s="675"/>
      <c r="N45" s="675"/>
      <c r="O45" s="675"/>
      <c r="P45" s="675"/>
    </row>
    <row r="46" spans="1:17" s="213" customFormat="1" ht="27" customHeight="1" thickBot="1">
      <c r="A46" s="210"/>
      <c r="B46" s="194" t="s">
        <v>240</v>
      </c>
      <c r="C46" s="211" t="s">
        <v>241</v>
      </c>
      <c r="D46" s="197" t="str">
        <f t="shared" ref="D46:O46" si="8">D6</f>
        <v>Jan</v>
      </c>
      <c r="E46" s="197" t="str">
        <f t="shared" si="8"/>
        <v>Feb</v>
      </c>
      <c r="F46" s="197" t="str">
        <f t="shared" si="8"/>
        <v>Mar</v>
      </c>
      <c r="G46" s="197" t="str">
        <f t="shared" si="8"/>
        <v>Apr</v>
      </c>
      <c r="H46" s="197" t="str">
        <f t="shared" si="8"/>
        <v>May</v>
      </c>
      <c r="I46" s="197" t="str">
        <f t="shared" si="8"/>
        <v>Jun</v>
      </c>
      <c r="J46" s="197" t="str">
        <f t="shared" si="8"/>
        <v>Jul</v>
      </c>
      <c r="K46" s="197" t="str">
        <f t="shared" si="8"/>
        <v>Aug</v>
      </c>
      <c r="L46" s="197" t="str">
        <f t="shared" si="8"/>
        <v>Sep</v>
      </c>
      <c r="M46" s="197" t="str">
        <f t="shared" si="8"/>
        <v>Oct</v>
      </c>
      <c r="N46" s="197" t="str">
        <f t="shared" si="8"/>
        <v>Nov</v>
      </c>
      <c r="O46" s="197" t="str">
        <f t="shared" si="8"/>
        <v>Dec</v>
      </c>
      <c r="P46" s="212" t="s">
        <v>60</v>
      </c>
    </row>
    <row r="47" spans="1:17" ht="18" customHeight="1" thickBot="1">
      <c r="A47" s="444" t="str">
        <f>IF(ISBLANK('Sales Details'!A6),"",('Sales Details'!A6))</f>
        <v>Test-category-1</v>
      </c>
      <c r="B47" s="214">
        <f>'Sales Details'!D6</f>
        <v>1000</v>
      </c>
      <c r="C47" s="215">
        <f>IF(ISBLANK('Sales Details'!A6),0,IF('Sales Details'!E6&gt;0.01,(100%-'Sales Details'!E6),0))</f>
        <v>9.9999999999999978E-2</v>
      </c>
      <c r="D47" s="443">
        <f>IF(ISBLANK(C47)," ",(C47*D26))</f>
        <v>0</v>
      </c>
      <c r="E47" s="443">
        <f>IF(ISBLANK(C47)," ",(C47*E26))</f>
        <v>0</v>
      </c>
      <c r="F47" s="443">
        <f>IF(ISBLANK(C47)," ",(C47*F26))</f>
        <v>0</v>
      </c>
      <c r="G47" s="443">
        <f>IF(ISBLANK(C47)," ",(C47*G26))</f>
        <v>0</v>
      </c>
      <c r="H47" s="443">
        <f>IF(ISBLANK(C47)," ",(C47*H26))</f>
        <v>0</v>
      </c>
      <c r="I47" s="443">
        <f>IF(ISBLANK(C47)," ",(C47*I26))</f>
        <v>0</v>
      </c>
      <c r="J47" s="443">
        <f>IF(ISBLANK(C47)," ",(C47*J26))</f>
        <v>0</v>
      </c>
      <c r="K47" s="443">
        <f>IF(ISBLANK(C47)," ",(C47*K26))</f>
        <v>0</v>
      </c>
      <c r="L47" s="443">
        <f>IF(ISBLANK(C47)," ",(C47*L26))</f>
        <v>0</v>
      </c>
      <c r="M47" s="443">
        <f>IF(ISBLANK(C47)," ",(C47*M26))</f>
        <v>0</v>
      </c>
      <c r="N47" s="443">
        <f>IF(ISBLANK(C47)," ",(C47*N26))</f>
        <v>0</v>
      </c>
      <c r="O47" s="443">
        <f>IF(ISBLANK(C47)," ",(C47*O26))</f>
        <v>0</v>
      </c>
      <c r="P47" s="445">
        <f t="shared" ref="P47:P61" si="9">SUM(D47:O47)</f>
        <v>0</v>
      </c>
    </row>
    <row r="48" spans="1:17" ht="18" customHeight="1" thickBot="1">
      <c r="A48" s="444" t="str">
        <f>IF(ISBLANK('Sales Details'!A7),"",('Sales Details'!A7))</f>
        <v>Test-category-2</v>
      </c>
      <c r="B48" s="216">
        <f>'Sales Details'!D7</f>
        <v>500</v>
      </c>
      <c r="C48" s="215">
        <f>IF(ISBLANK('Sales Details'!A7),0,IF('Sales Details'!E7&gt;0.01,(100%-'Sales Details'!E7),0))</f>
        <v>9.9999999999999978E-2</v>
      </c>
      <c r="D48" s="443">
        <f>IF(ISBLANK(C48)," ",(C48*D27))</f>
        <v>0</v>
      </c>
      <c r="E48" s="443">
        <f t="shared" ref="E48:E61" si="10">IF(ISBLANK(C48)," ",(C48*E27))</f>
        <v>0</v>
      </c>
      <c r="F48" s="443">
        <f t="shared" ref="F48:F61" si="11">IF(ISBLANK(C48)," ",(C48*F27))</f>
        <v>0</v>
      </c>
      <c r="G48" s="443">
        <f t="shared" ref="G48:G61" si="12">IF(ISBLANK(C48)," ",(C48*G27))</f>
        <v>0</v>
      </c>
      <c r="H48" s="443">
        <f t="shared" ref="H48:H61" si="13">IF(ISBLANK(C48)," ",(C48*H27))</f>
        <v>0</v>
      </c>
      <c r="I48" s="443">
        <f t="shared" ref="I48:I61" si="14">IF(ISBLANK(C48)," ",(C48*I27))</f>
        <v>0</v>
      </c>
      <c r="J48" s="443">
        <f t="shared" ref="J48:J61" si="15">IF(ISBLANK(C48)," ",(C48*J27))</f>
        <v>0</v>
      </c>
      <c r="K48" s="443">
        <f t="shared" ref="K48:K61" si="16">IF(ISBLANK(C48)," ",(C48*K27))</f>
        <v>0</v>
      </c>
      <c r="L48" s="443">
        <f t="shared" ref="L48:L61" si="17">IF(ISBLANK(C48)," ",(C48*L27))</f>
        <v>0</v>
      </c>
      <c r="M48" s="443">
        <f t="shared" ref="M48:M61" si="18">IF(ISBLANK(C48)," ",(C48*M27))</f>
        <v>0</v>
      </c>
      <c r="N48" s="443">
        <f t="shared" ref="N48:N61" si="19">IF(ISBLANK(C48)," ",(C48*N27))</f>
        <v>0</v>
      </c>
      <c r="O48" s="443">
        <f t="shared" ref="O48:O61" si="20">IF(ISBLANK(C48)," ",(C48*O27))</f>
        <v>0</v>
      </c>
      <c r="P48" s="445">
        <f t="shared" si="9"/>
        <v>0</v>
      </c>
    </row>
    <row r="49" spans="1:19" ht="18" customHeight="1" thickBot="1">
      <c r="A49" s="444" t="str">
        <f>IF(ISBLANK('Sales Details'!A8),"",('Sales Details'!A8))</f>
        <v>Test-category-3</v>
      </c>
      <c r="B49" s="216">
        <f>'Sales Details'!D8</f>
        <v>400</v>
      </c>
      <c r="C49" s="215">
        <f>IF(ISBLANK('Sales Details'!A8),0,IF('Sales Details'!E8&gt;0.01,(100%-'Sales Details'!E8),0))</f>
        <v>9.9999999999999978E-2</v>
      </c>
      <c r="D49" s="443">
        <f t="shared" ref="D49:D61" si="21">IF(ISBLANK(C49)," ",(C49*D28))</f>
        <v>0</v>
      </c>
      <c r="E49" s="443">
        <f t="shared" si="10"/>
        <v>0</v>
      </c>
      <c r="F49" s="443">
        <f t="shared" si="11"/>
        <v>0</v>
      </c>
      <c r="G49" s="443">
        <f t="shared" si="12"/>
        <v>0</v>
      </c>
      <c r="H49" s="443">
        <f t="shared" si="13"/>
        <v>0</v>
      </c>
      <c r="I49" s="443">
        <f t="shared" si="14"/>
        <v>0</v>
      </c>
      <c r="J49" s="443">
        <f t="shared" si="15"/>
        <v>0</v>
      </c>
      <c r="K49" s="443">
        <f t="shared" si="16"/>
        <v>0</v>
      </c>
      <c r="L49" s="443">
        <f t="shared" si="17"/>
        <v>0</v>
      </c>
      <c r="M49" s="443">
        <f t="shared" si="18"/>
        <v>0</v>
      </c>
      <c r="N49" s="443">
        <f t="shared" si="19"/>
        <v>0</v>
      </c>
      <c r="O49" s="443">
        <f t="shared" si="20"/>
        <v>0</v>
      </c>
      <c r="P49" s="445">
        <f t="shared" si="9"/>
        <v>0</v>
      </c>
      <c r="S49" s="217"/>
    </row>
    <row r="50" spans="1:19" ht="18" customHeight="1" thickBot="1">
      <c r="A50" s="444" t="str">
        <f>IF(ISBLANK('Sales Details'!A9),"",('Sales Details'!A9))</f>
        <v/>
      </c>
      <c r="B50" s="216">
        <f>'Sales Details'!D9</f>
        <v>0</v>
      </c>
      <c r="C50" s="215">
        <f>IF(ISBLANK('Sales Details'!A9),0,IF('Sales Details'!E9&gt;0.01,(100%-'Sales Details'!E9),0))</f>
        <v>0</v>
      </c>
      <c r="D50" s="443">
        <f t="shared" si="21"/>
        <v>0</v>
      </c>
      <c r="E50" s="443">
        <f t="shared" si="10"/>
        <v>0</v>
      </c>
      <c r="F50" s="443">
        <f t="shared" si="11"/>
        <v>0</v>
      </c>
      <c r="G50" s="443">
        <f t="shared" si="12"/>
        <v>0</v>
      </c>
      <c r="H50" s="443">
        <f t="shared" si="13"/>
        <v>0</v>
      </c>
      <c r="I50" s="443">
        <f t="shared" si="14"/>
        <v>0</v>
      </c>
      <c r="J50" s="443">
        <f t="shared" si="15"/>
        <v>0</v>
      </c>
      <c r="K50" s="443">
        <f t="shared" si="16"/>
        <v>0</v>
      </c>
      <c r="L50" s="443">
        <f t="shared" si="17"/>
        <v>0</v>
      </c>
      <c r="M50" s="443">
        <f t="shared" si="18"/>
        <v>0</v>
      </c>
      <c r="N50" s="443">
        <f t="shared" si="19"/>
        <v>0</v>
      </c>
      <c r="O50" s="443">
        <f t="shared" si="20"/>
        <v>0</v>
      </c>
      <c r="P50" s="445">
        <f t="shared" si="9"/>
        <v>0</v>
      </c>
    </row>
    <row r="51" spans="1:19" ht="18" customHeight="1" thickBot="1">
      <c r="A51" s="444" t="str">
        <f>IF(ISBLANK('Sales Details'!A10),"",('Sales Details'!A10))</f>
        <v/>
      </c>
      <c r="B51" s="216">
        <f>'Sales Details'!D10</f>
        <v>0</v>
      </c>
      <c r="C51" s="215">
        <f>IF(ISBLANK('Sales Details'!A10),0,IF('Sales Details'!E10&gt;0.01,(100%-'Sales Details'!E10),0))</f>
        <v>0</v>
      </c>
      <c r="D51" s="443">
        <f t="shared" si="21"/>
        <v>0</v>
      </c>
      <c r="E51" s="443">
        <f t="shared" si="10"/>
        <v>0</v>
      </c>
      <c r="F51" s="443">
        <f t="shared" si="11"/>
        <v>0</v>
      </c>
      <c r="G51" s="443">
        <f t="shared" si="12"/>
        <v>0</v>
      </c>
      <c r="H51" s="443">
        <f t="shared" si="13"/>
        <v>0</v>
      </c>
      <c r="I51" s="443">
        <f t="shared" si="14"/>
        <v>0</v>
      </c>
      <c r="J51" s="443">
        <f t="shared" si="15"/>
        <v>0</v>
      </c>
      <c r="K51" s="443">
        <f t="shared" si="16"/>
        <v>0</v>
      </c>
      <c r="L51" s="443">
        <f t="shared" si="17"/>
        <v>0</v>
      </c>
      <c r="M51" s="443">
        <f t="shared" si="18"/>
        <v>0</v>
      </c>
      <c r="N51" s="443">
        <f t="shared" si="19"/>
        <v>0</v>
      </c>
      <c r="O51" s="443">
        <f t="shared" si="20"/>
        <v>0</v>
      </c>
      <c r="P51" s="445">
        <f t="shared" si="9"/>
        <v>0</v>
      </c>
    </row>
    <row r="52" spans="1:19" ht="18" customHeight="1" thickBot="1">
      <c r="A52" s="444" t="str">
        <f>IF(ISBLANK('Sales Details'!A11),"",('Sales Details'!A11))</f>
        <v/>
      </c>
      <c r="B52" s="216">
        <f>'Sales Details'!D11</f>
        <v>0</v>
      </c>
      <c r="C52" s="215">
        <f>IF(ISBLANK('Sales Details'!A11),0,IF('Sales Details'!E11&gt;0.01,(100%-'Sales Details'!E11),0))</f>
        <v>0</v>
      </c>
      <c r="D52" s="443">
        <f t="shared" si="21"/>
        <v>0</v>
      </c>
      <c r="E52" s="443">
        <f t="shared" si="10"/>
        <v>0</v>
      </c>
      <c r="F52" s="443">
        <f t="shared" si="11"/>
        <v>0</v>
      </c>
      <c r="G52" s="443">
        <f t="shared" si="12"/>
        <v>0</v>
      </c>
      <c r="H52" s="443">
        <f t="shared" si="13"/>
        <v>0</v>
      </c>
      <c r="I52" s="443">
        <f t="shared" si="14"/>
        <v>0</v>
      </c>
      <c r="J52" s="443">
        <f t="shared" si="15"/>
        <v>0</v>
      </c>
      <c r="K52" s="443">
        <f t="shared" si="16"/>
        <v>0</v>
      </c>
      <c r="L52" s="443">
        <f t="shared" si="17"/>
        <v>0</v>
      </c>
      <c r="M52" s="443">
        <f t="shared" si="18"/>
        <v>0</v>
      </c>
      <c r="N52" s="443">
        <f t="shared" si="19"/>
        <v>0</v>
      </c>
      <c r="O52" s="443">
        <f t="shared" si="20"/>
        <v>0</v>
      </c>
      <c r="P52" s="445">
        <f t="shared" si="9"/>
        <v>0</v>
      </c>
    </row>
    <row r="53" spans="1:19" ht="18" customHeight="1" thickBot="1">
      <c r="A53" s="444" t="str">
        <f>IF(ISBLANK('Sales Details'!A12),"",('Sales Details'!A12))</f>
        <v/>
      </c>
      <c r="B53" s="216">
        <f>'Sales Details'!D12</f>
        <v>0</v>
      </c>
      <c r="C53" s="215">
        <f>IF(ISBLANK('Sales Details'!A12),0,IF('Sales Details'!E12&gt;0.01,(100%-'Sales Details'!E12),0))</f>
        <v>0</v>
      </c>
      <c r="D53" s="443">
        <f t="shared" si="21"/>
        <v>0</v>
      </c>
      <c r="E53" s="443">
        <v>5</v>
      </c>
      <c r="F53" s="443">
        <f t="shared" si="11"/>
        <v>0</v>
      </c>
      <c r="G53" s="443">
        <f t="shared" si="12"/>
        <v>0</v>
      </c>
      <c r="H53" s="443">
        <f t="shared" si="13"/>
        <v>0</v>
      </c>
      <c r="I53" s="443">
        <f t="shared" si="14"/>
        <v>0</v>
      </c>
      <c r="J53" s="443">
        <f t="shared" si="15"/>
        <v>0</v>
      </c>
      <c r="K53" s="443">
        <f t="shared" si="16"/>
        <v>0</v>
      </c>
      <c r="L53" s="443">
        <f t="shared" si="17"/>
        <v>0</v>
      </c>
      <c r="M53" s="443">
        <f t="shared" si="18"/>
        <v>0</v>
      </c>
      <c r="N53" s="443">
        <f t="shared" si="19"/>
        <v>0</v>
      </c>
      <c r="O53" s="443">
        <f t="shared" si="20"/>
        <v>0</v>
      </c>
      <c r="P53" s="445">
        <f t="shared" si="9"/>
        <v>5</v>
      </c>
      <c r="S53" s="218"/>
    </row>
    <row r="54" spans="1:19" ht="18" customHeight="1" thickBot="1">
      <c r="A54" s="444" t="str">
        <f>IF(ISBLANK('Sales Details'!A13),"",('Sales Details'!A13))</f>
        <v/>
      </c>
      <c r="B54" s="216">
        <f>'Sales Details'!D13</f>
        <v>0</v>
      </c>
      <c r="C54" s="215">
        <f>IF(ISBLANK('Sales Details'!A13),0,IF('Sales Details'!E13&gt;0.01,(100%-'Sales Details'!E13),0))</f>
        <v>0</v>
      </c>
      <c r="D54" s="443">
        <f t="shared" si="21"/>
        <v>0</v>
      </c>
      <c r="E54" s="443">
        <f t="shared" si="10"/>
        <v>0</v>
      </c>
      <c r="F54" s="443">
        <f t="shared" si="11"/>
        <v>0</v>
      </c>
      <c r="G54" s="443">
        <f t="shared" si="12"/>
        <v>0</v>
      </c>
      <c r="H54" s="443">
        <f t="shared" si="13"/>
        <v>0</v>
      </c>
      <c r="I54" s="443">
        <f t="shared" si="14"/>
        <v>0</v>
      </c>
      <c r="J54" s="443">
        <f t="shared" si="15"/>
        <v>0</v>
      </c>
      <c r="K54" s="443">
        <f t="shared" si="16"/>
        <v>0</v>
      </c>
      <c r="L54" s="443">
        <f t="shared" si="17"/>
        <v>0</v>
      </c>
      <c r="M54" s="443">
        <f t="shared" si="18"/>
        <v>0</v>
      </c>
      <c r="N54" s="443">
        <f t="shared" si="19"/>
        <v>0</v>
      </c>
      <c r="O54" s="443">
        <f t="shared" si="20"/>
        <v>0</v>
      </c>
      <c r="P54" s="445">
        <f t="shared" si="9"/>
        <v>0</v>
      </c>
    </row>
    <row r="55" spans="1:19" ht="18" customHeight="1" thickBot="1">
      <c r="A55" s="444" t="str">
        <f>IF(ISBLANK('Sales Details'!A14),"",('Sales Details'!A14))</f>
        <v/>
      </c>
      <c r="B55" s="216">
        <f>'Sales Details'!D14</f>
        <v>0</v>
      </c>
      <c r="C55" s="215">
        <f>IF(ISBLANK('Sales Details'!A14),0,IF('Sales Details'!E14&gt;0.01,(100%-'Sales Details'!E14),0))</f>
        <v>0</v>
      </c>
      <c r="D55" s="443">
        <f t="shared" si="21"/>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3">
        <f t="shared" si="20"/>
        <v>0</v>
      </c>
      <c r="P55" s="445">
        <f t="shared" si="9"/>
        <v>0</v>
      </c>
    </row>
    <row r="56" spans="1:19" ht="18" customHeight="1" thickBot="1">
      <c r="A56" s="444" t="str">
        <f>IF(ISBLANK('Sales Details'!A15),"",('Sales Details'!A15))</f>
        <v/>
      </c>
      <c r="B56" s="216">
        <f>'Sales Details'!D15</f>
        <v>0</v>
      </c>
      <c r="C56" s="215">
        <f>IF(ISBLANK('Sales Details'!A15),0,IF('Sales Details'!E15&gt;0.01,(100%-'Sales Details'!E15),0))</f>
        <v>0</v>
      </c>
      <c r="D56" s="443">
        <f t="shared" si="21"/>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3">
        <f t="shared" si="20"/>
        <v>0</v>
      </c>
      <c r="P56" s="445">
        <f t="shared" si="9"/>
        <v>0</v>
      </c>
    </row>
    <row r="57" spans="1:19" ht="18" customHeight="1" thickBot="1">
      <c r="A57" s="444" t="str">
        <f>IF(ISBLANK('Sales Details'!A16),"",('Sales Details'!A16))</f>
        <v/>
      </c>
      <c r="B57" s="216">
        <f>'Sales Details'!D16</f>
        <v>0</v>
      </c>
      <c r="C57" s="215">
        <f>IF(ISBLANK('Sales Details'!A16),0,IF('Sales Details'!E16&gt;0.01,(100%-'Sales Details'!E16),0))</f>
        <v>0</v>
      </c>
      <c r="D57" s="443">
        <f t="shared" si="21"/>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3">
        <f t="shared" si="20"/>
        <v>0</v>
      </c>
      <c r="P57" s="445">
        <f t="shared" si="9"/>
        <v>0</v>
      </c>
    </row>
    <row r="58" spans="1:19" ht="18" customHeight="1" thickBot="1">
      <c r="A58" s="444" t="str">
        <f>IF(ISBLANK('Sales Details'!A17),"",('Sales Details'!A17))</f>
        <v/>
      </c>
      <c r="B58" s="216">
        <f>'Sales Details'!D17</f>
        <v>0</v>
      </c>
      <c r="C58" s="215">
        <f>IF(ISBLANK('Sales Details'!A17),0,IF('Sales Details'!E17&gt;0.01,(100%-'Sales Details'!E17),0))</f>
        <v>0</v>
      </c>
      <c r="D58" s="443">
        <f t="shared" si="21"/>
        <v>0</v>
      </c>
      <c r="E58" s="443">
        <v>5</v>
      </c>
      <c r="F58" s="443">
        <f t="shared" si="11"/>
        <v>0</v>
      </c>
      <c r="G58" s="443">
        <f t="shared" si="12"/>
        <v>0</v>
      </c>
      <c r="H58" s="443">
        <f t="shared" si="13"/>
        <v>0</v>
      </c>
      <c r="I58" s="443">
        <f t="shared" si="14"/>
        <v>0</v>
      </c>
      <c r="J58" s="443">
        <f t="shared" si="15"/>
        <v>0</v>
      </c>
      <c r="K58" s="443">
        <f t="shared" si="16"/>
        <v>0</v>
      </c>
      <c r="L58" s="443">
        <f t="shared" si="17"/>
        <v>0</v>
      </c>
      <c r="M58" s="443">
        <f t="shared" si="18"/>
        <v>0</v>
      </c>
      <c r="N58" s="443">
        <f t="shared" si="19"/>
        <v>0</v>
      </c>
      <c r="O58" s="443">
        <f t="shared" si="20"/>
        <v>0</v>
      </c>
      <c r="P58" s="445">
        <f t="shared" si="9"/>
        <v>5</v>
      </c>
    </row>
    <row r="59" spans="1:19" ht="18" customHeight="1" thickBot="1">
      <c r="A59" s="444" t="str">
        <f>IF(ISBLANK('Sales Details'!A18),"",('Sales Details'!A18))</f>
        <v/>
      </c>
      <c r="B59" s="216">
        <f>'Sales Details'!D18</f>
        <v>0</v>
      </c>
      <c r="C59" s="215">
        <f>IF(ISBLANK('Sales Details'!A18),0,IF('Sales Details'!E18&gt;0.01,(100%-'Sales Details'!E18),0))</f>
        <v>0</v>
      </c>
      <c r="D59" s="443">
        <f t="shared" si="21"/>
        <v>0</v>
      </c>
      <c r="E59" s="443">
        <f t="shared" si="10"/>
        <v>0</v>
      </c>
      <c r="F59" s="443">
        <f t="shared" si="11"/>
        <v>0</v>
      </c>
      <c r="G59" s="443">
        <f t="shared" si="12"/>
        <v>0</v>
      </c>
      <c r="H59" s="443">
        <f t="shared" si="13"/>
        <v>0</v>
      </c>
      <c r="I59" s="443">
        <f t="shared" si="14"/>
        <v>0</v>
      </c>
      <c r="J59" s="443">
        <f t="shared" si="15"/>
        <v>0</v>
      </c>
      <c r="K59" s="443">
        <f t="shared" si="16"/>
        <v>0</v>
      </c>
      <c r="L59" s="443">
        <f t="shared" si="17"/>
        <v>0</v>
      </c>
      <c r="M59" s="443">
        <f t="shared" si="18"/>
        <v>0</v>
      </c>
      <c r="N59" s="443">
        <f t="shared" si="19"/>
        <v>0</v>
      </c>
      <c r="O59" s="443">
        <f t="shared" si="20"/>
        <v>0</v>
      </c>
      <c r="P59" s="445">
        <f t="shared" si="9"/>
        <v>0</v>
      </c>
    </row>
    <row r="60" spans="1:19" ht="18" customHeight="1" thickBot="1">
      <c r="A60" s="444" t="str">
        <f>IF(ISBLANK('Sales Details'!A19),"",('Sales Details'!A19))</f>
        <v/>
      </c>
      <c r="B60" s="216">
        <f>'Sales Details'!D19</f>
        <v>0</v>
      </c>
      <c r="C60" s="215">
        <f>IF(ISBLANK('Sales Details'!A19),0,IF('Sales Details'!E19&gt;0.01,(100%-'Sales Details'!E19),0))</f>
        <v>0</v>
      </c>
      <c r="D60" s="443">
        <f t="shared" si="21"/>
        <v>0</v>
      </c>
      <c r="E60" s="443">
        <f t="shared" si="10"/>
        <v>0</v>
      </c>
      <c r="F60" s="443">
        <f t="shared" si="11"/>
        <v>0</v>
      </c>
      <c r="G60" s="443">
        <f t="shared" si="12"/>
        <v>0</v>
      </c>
      <c r="H60" s="443">
        <f t="shared" si="13"/>
        <v>0</v>
      </c>
      <c r="I60" s="443">
        <f t="shared" si="14"/>
        <v>0</v>
      </c>
      <c r="J60" s="443">
        <f t="shared" si="15"/>
        <v>0</v>
      </c>
      <c r="K60" s="443">
        <f t="shared" si="16"/>
        <v>0</v>
      </c>
      <c r="L60" s="443">
        <f t="shared" si="17"/>
        <v>0</v>
      </c>
      <c r="M60" s="443">
        <f t="shared" si="18"/>
        <v>0</v>
      </c>
      <c r="N60" s="443">
        <f t="shared" si="19"/>
        <v>0</v>
      </c>
      <c r="O60" s="443">
        <f t="shared" si="20"/>
        <v>0</v>
      </c>
      <c r="P60" s="445">
        <f t="shared" si="9"/>
        <v>0</v>
      </c>
    </row>
    <row r="61" spans="1:19" ht="18" customHeight="1" thickBot="1">
      <c r="A61" s="444" t="str">
        <f>IF(ISBLANK('Sales Details'!A20),"",('Sales Details'!A20))</f>
        <v/>
      </c>
      <c r="B61" s="219">
        <f>'Sales Details'!D20</f>
        <v>0</v>
      </c>
      <c r="C61" s="215">
        <f>IF(ISBLANK('Sales Details'!A20),0,IF('Sales Details'!E20&gt;0.01,(100%-'Sales Details'!E20),0))</f>
        <v>0</v>
      </c>
      <c r="D61" s="443">
        <f t="shared" si="21"/>
        <v>0</v>
      </c>
      <c r="E61" s="443">
        <f t="shared" si="10"/>
        <v>0</v>
      </c>
      <c r="F61" s="443">
        <f t="shared" si="11"/>
        <v>0</v>
      </c>
      <c r="G61" s="443">
        <f t="shared" si="12"/>
        <v>0</v>
      </c>
      <c r="H61" s="443">
        <f t="shared" si="13"/>
        <v>0</v>
      </c>
      <c r="I61" s="443">
        <f t="shared" si="14"/>
        <v>0</v>
      </c>
      <c r="J61" s="443">
        <f t="shared" si="15"/>
        <v>0</v>
      </c>
      <c r="K61" s="443">
        <f t="shared" si="16"/>
        <v>0</v>
      </c>
      <c r="L61" s="443">
        <f t="shared" si="17"/>
        <v>0</v>
      </c>
      <c r="M61" s="443">
        <f t="shared" si="18"/>
        <v>0</v>
      </c>
      <c r="N61" s="443">
        <f t="shared" si="19"/>
        <v>0</v>
      </c>
      <c r="O61" s="443">
        <f t="shared" si="20"/>
        <v>0</v>
      </c>
      <c r="P61" s="445">
        <f t="shared" si="9"/>
        <v>0</v>
      </c>
    </row>
    <row r="62" spans="1:19" ht="34.5" customHeight="1" thickBot="1">
      <c r="A62" s="676" t="s">
        <v>242</v>
      </c>
      <c r="B62" s="676"/>
      <c r="C62" s="676"/>
      <c r="D62" s="445">
        <f t="shared" ref="D62:P62" si="22">SUM(D47:D61)</f>
        <v>0</v>
      </c>
      <c r="E62" s="445">
        <f t="shared" si="22"/>
        <v>10</v>
      </c>
      <c r="F62" s="445">
        <f t="shared" si="22"/>
        <v>0</v>
      </c>
      <c r="G62" s="445">
        <f t="shared" si="22"/>
        <v>0</v>
      </c>
      <c r="H62" s="445">
        <f t="shared" si="22"/>
        <v>0</v>
      </c>
      <c r="I62" s="445">
        <f t="shared" si="22"/>
        <v>0</v>
      </c>
      <c r="J62" s="445">
        <f t="shared" si="22"/>
        <v>0</v>
      </c>
      <c r="K62" s="445">
        <f t="shared" si="22"/>
        <v>0</v>
      </c>
      <c r="L62" s="445">
        <f t="shared" si="22"/>
        <v>0</v>
      </c>
      <c r="M62" s="445">
        <f t="shared" si="22"/>
        <v>0</v>
      </c>
      <c r="N62" s="445">
        <f t="shared" si="22"/>
        <v>0</v>
      </c>
      <c r="O62" s="445">
        <f t="shared" si="22"/>
        <v>0</v>
      </c>
      <c r="P62" s="445">
        <f t="shared" si="22"/>
        <v>10</v>
      </c>
    </row>
    <row r="63" spans="1:19" ht="15" customHeight="1">
      <c r="A63" s="220"/>
      <c r="B63" s="220"/>
      <c r="C63" s="220"/>
      <c r="D63" s="221"/>
      <c r="E63" s="221"/>
      <c r="F63" s="221"/>
      <c r="G63" s="221"/>
      <c r="H63" s="221"/>
      <c r="I63" s="221"/>
      <c r="J63" s="221"/>
      <c r="K63" s="221"/>
      <c r="L63" s="221"/>
      <c r="M63" s="221"/>
      <c r="N63" s="221"/>
      <c r="O63" s="221"/>
      <c r="P63" s="221"/>
    </row>
    <row r="64" spans="1:19" ht="40.5" customHeight="1">
      <c r="A64" s="675" t="s">
        <v>243</v>
      </c>
      <c r="B64" s="675"/>
      <c r="C64" s="675"/>
      <c r="D64" s="675"/>
      <c r="E64" s="675"/>
      <c r="F64" s="675"/>
      <c r="G64" s="675"/>
      <c r="H64" s="675"/>
      <c r="I64" s="675"/>
      <c r="J64" s="675"/>
      <c r="K64" s="675"/>
      <c r="L64" s="675"/>
      <c r="M64" s="675"/>
      <c r="N64" s="675"/>
      <c r="O64" s="675"/>
      <c r="P64" s="675"/>
    </row>
    <row r="65" spans="1:16" ht="36" customHeight="1" thickBot="1">
      <c r="A65" s="667" t="s">
        <v>244</v>
      </c>
      <c r="B65" s="667"/>
      <c r="C65" s="673" t="s">
        <v>245</v>
      </c>
      <c r="D65" s="673"/>
      <c r="E65" s="673"/>
      <c r="F65" s="673"/>
      <c r="G65" s="673"/>
      <c r="H65" s="673"/>
      <c r="I65" s="673"/>
      <c r="J65" s="673"/>
      <c r="K65" s="673"/>
      <c r="L65" s="673"/>
      <c r="M65" s="673"/>
      <c r="N65" s="673"/>
      <c r="O65" s="673"/>
      <c r="P65" s="673"/>
    </row>
    <row r="66" spans="1:16" ht="18" customHeight="1" thickBot="1">
      <c r="A66" s="670" t="s">
        <v>246</v>
      </c>
      <c r="B66" s="670"/>
      <c r="C66" s="223"/>
      <c r="D66" s="443">
        <f t="shared" ref="D66:O66" si="23">D62</f>
        <v>0</v>
      </c>
      <c r="E66" s="443">
        <f t="shared" si="23"/>
        <v>10</v>
      </c>
      <c r="F66" s="443">
        <f t="shared" si="23"/>
        <v>0</v>
      </c>
      <c r="G66" s="443">
        <f t="shared" si="23"/>
        <v>0</v>
      </c>
      <c r="H66" s="443">
        <f t="shared" si="23"/>
        <v>0</v>
      </c>
      <c r="I66" s="443">
        <f t="shared" si="23"/>
        <v>0</v>
      </c>
      <c r="J66" s="443">
        <f t="shared" si="23"/>
        <v>0</v>
      </c>
      <c r="K66" s="443">
        <f t="shared" si="23"/>
        <v>0</v>
      </c>
      <c r="L66" s="443">
        <f t="shared" si="23"/>
        <v>0</v>
      </c>
      <c r="M66" s="443">
        <f t="shared" si="23"/>
        <v>0</v>
      </c>
      <c r="N66" s="443">
        <f t="shared" si="23"/>
        <v>0</v>
      </c>
      <c r="O66" s="443">
        <f t="shared" si="23"/>
        <v>0</v>
      </c>
      <c r="P66" s="445">
        <f t="shared" ref="P66:P74" si="24">SUM(D66:O66)</f>
        <v>10</v>
      </c>
    </row>
    <row r="67" spans="1:16" ht="18" customHeight="1" thickBot="1">
      <c r="A67" s="583"/>
      <c r="B67" s="583"/>
      <c r="C67" s="223"/>
      <c r="D67" s="443"/>
      <c r="E67" s="443"/>
      <c r="F67" s="443"/>
      <c r="G67" s="443"/>
      <c r="H67" s="443"/>
      <c r="I67" s="443"/>
      <c r="J67" s="443"/>
      <c r="K67" s="443"/>
      <c r="L67" s="443"/>
      <c r="M67" s="443"/>
      <c r="N67" s="443"/>
      <c r="O67" s="443"/>
      <c r="P67" s="445">
        <f t="shared" si="24"/>
        <v>0</v>
      </c>
    </row>
    <row r="68" spans="1:16" ht="18" customHeight="1" thickBot="1">
      <c r="A68" s="583"/>
      <c r="B68" s="583"/>
      <c r="C68" s="223"/>
      <c r="D68" s="443"/>
      <c r="E68" s="443"/>
      <c r="F68" s="443"/>
      <c r="G68" s="443"/>
      <c r="H68" s="443"/>
      <c r="I68" s="443"/>
      <c r="J68" s="443"/>
      <c r="K68" s="443"/>
      <c r="L68" s="443"/>
      <c r="M68" s="443"/>
      <c r="N68" s="443"/>
      <c r="O68" s="443"/>
      <c r="P68" s="445">
        <f t="shared" si="24"/>
        <v>0</v>
      </c>
    </row>
    <row r="69" spans="1:16" ht="18" customHeight="1" thickBot="1">
      <c r="A69" s="583"/>
      <c r="B69" s="583"/>
      <c r="C69" s="223"/>
      <c r="D69" s="443"/>
      <c r="E69" s="443"/>
      <c r="F69" s="443"/>
      <c r="G69" s="443"/>
      <c r="H69" s="443"/>
      <c r="I69" s="443"/>
      <c r="J69" s="443"/>
      <c r="K69" s="443"/>
      <c r="L69" s="443"/>
      <c r="M69" s="443"/>
      <c r="N69" s="443"/>
      <c r="O69" s="443"/>
      <c r="P69" s="445">
        <f t="shared" si="24"/>
        <v>0</v>
      </c>
    </row>
    <row r="70" spans="1:16" ht="18" customHeight="1" thickBot="1">
      <c r="A70" s="583"/>
      <c r="B70" s="583"/>
      <c r="C70" s="223"/>
      <c r="D70" s="443"/>
      <c r="E70" s="443"/>
      <c r="F70" s="443"/>
      <c r="G70" s="443"/>
      <c r="H70" s="443"/>
      <c r="I70" s="443"/>
      <c r="J70" s="443"/>
      <c r="K70" s="443"/>
      <c r="L70" s="443"/>
      <c r="M70" s="443"/>
      <c r="N70" s="443"/>
      <c r="O70" s="443"/>
      <c r="P70" s="445">
        <f t="shared" si="24"/>
        <v>0</v>
      </c>
    </row>
    <row r="71" spans="1:16" ht="18" customHeight="1" thickBot="1">
      <c r="A71" s="583"/>
      <c r="B71" s="583"/>
      <c r="C71" s="223"/>
      <c r="D71" s="443"/>
      <c r="E71" s="443"/>
      <c r="F71" s="443"/>
      <c r="G71" s="443"/>
      <c r="H71" s="443"/>
      <c r="I71" s="443"/>
      <c r="J71" s="443"/>
      <c r="K71" s="443"/>
      <c r="L71" s="443"/>
      <c r="M71" s="443"/>
      <c r="N71" s="443"/>
      <c r="O71" s="443"/>
      <c r="P71" s="445">
        <f t="shared" si="24"/>
        <v>0</v>
      </c>
    </row>
    <row r="72" spans="1:16" ht="18" customHeight="1" thickBot="1">
      <c r="A72" s="583"/>
      <c r="B72" s="583"/>
      <c r="C72" s="223"/>
      <c r="D72" s="443"/>
      <c r="E72" s="443"/>
      <c r="F72" s="443"/>
      <c r="G72" s="443"/>
      <c r="H72" s="443"/>
      <c r="I72" s="443"/>
      <c r="J72" s="443"/>
      <c r="K72" s="443"/>
      <c r="L72" s="443"/>
      <c r="M72" s="443"/>
      <c r="N72" s="443"/>
      <c r="O72" s="443"/>
      <c r="P72" s="445">
        <f t="shared" si="24"/>
        <v>0</v>
      </c>
    </row>
    <row r="73" spans="1:16" ht="18" customHeight="1" thickBot="1">
      <c r="A73" s="583"/>
      <c r="B73" s="583"/>
      <c r="C73" s="223"/>
      <c r="D73" s="443"/>
      <c r="E73" s="443"/>
      <c r="F73" s="443"/>
      <c r="G73" s="443"/>
      <c r="H73" s="443"/>
      <c r="I73" s="443"/>
      <c r="J73" s="443"/>
      <c r="K73" s="443"/>
      <c r="L73" s="443"/>
      <c r="M73" s="443"/>
      <c r="N73" s="443"/>
      <c r="O73" s="443"/>
      <c r="P73" s="445">
        <f t="shared" si="24"/>
        <v>0</v>
      </c>
    </row>
    <row r="74" spans="1:16" ht="18" customHeight="1" thickBot="1">
      <c r="A74" s="583"/>
      <c r="B74" s="583"/>
      <c r="C74" s="223"/>
      <c r="D74" s="443"/>
      <c r="E74" s="443"/>
      <c r="F74" s="443"/>
      <c r="G74" s="443"/>
      <c r="H74" s="443"/>
      <c r="I74" s="443"/>
      <c r="J74" s="443"/>
      <c r="K74" s="443"/>
      <c r="L74" s="443"/>
      <c r="M74" s="443"/>
      <c r="N74" s="443"/>
      <c r="O74" s="443"/>
      <c r="P74" s="445">
        <f t="shared" si="24"/>
        <v>0</v>
      </c>
    </row>
    <row r="75" spans="1:16" ht="25.15" customHeight="1" thickBot="1">
      <c r="A75" s="671" t="s">
        <v>247</v>
      </c>
      <c r="B75" s="671"/>
      <c r="C75" s="671"/>
      <c r="D75" s="445">
        <f>SUM(D66:D74)</f>
        <v>0</v>
      </c>
      <c r="E75" s="445">
        <f t="shared" ref="E75:P75" si="25">SUM(E66:E74)</f>
        <v>10</v>
      </c>
      <c r="F75" s="445">
        <f t="shared" si="25"/>
        <v>0</v>
      </c>
      <c r="G75" s="445">
        <f t="shared" si="25"/>
        <v>0</v>
      </c>
      <c r="H75" s="445">
        <f t="shared" si="25"/>
        <v>0</v>
      </c>
      <c r="I75" s="445">
        <f t="shared" si="25"/>
        <v>0</v>
      </c>
      <c r="J75" s="445">
        <f t="shared" si="25"/>
        <v>0</v>
      </c>
      <c r="K75" s="445">
        <f t="shared" si="25"/>
        <v>0</v>
      </c>
      <c r="L75" s="445">
        <f t="shared" si="25"/>
        <v>0</v>
      </c>
      <c r="M75" s="445">
        <f t="shared" si="25"/>
        <v>0</v>
      </c>
      <c r="N75" s="445">
        <f t="shared" si="25"/>
        <v>0</v>
      </c>
      <c r="O75" s="445">
        <f t="shared" si="25"/>
        <v>0</v>
      </c>
      <c r="P75" s="445">
        <f t="shared" si="25"/>
        <v>10</v>
      </c>
    </row>
    <row r="76" spans="1:16" ht="15" customHeight="1">
      <c r="A76" s="224"/>
      <c r="B76" s="224"/>
      <c r="C76" s="224"/>
      <c r="D76" s="225"/>
      <c r="E76" s="225"/>
      <c r="F76" s="225"/>
      <c r="G76" s="225"/>
      <c r="H76" s="225"/>
      <c r="I76" s="225"/>
      <c r="J76" s="225"/>
      <c r="K76" s="225"/>
      <c r="L76" s="225"/>
      <c r="M76" s="225"/>
      <c r="N76" s="225"/>
      <c r="O76" s="225"/>
      <c r="P76" s="225"/>
    </row>
    <row r="77" spans="1:16" ht="25.15" customHeight="1">
      <c r="A77" s="672" t="s">
        <v>248</v>
      </c>
      <c r="B77" s="672"/>
      <c r="C77" s="672"/>
      <c r="D77" s="443">
        <f>IF(SUM($C$47:$C$61)=0,"n/a",('Assets and Depreciation'!$B$18+D75-D62))</f>
        <v>0</v>
      </c>
      <c r="E77" s="443">
        <f>IF(SUM($C$47:$C$61)=0,"n/a",(D77+E75-E62))</f>
        <v>0</v>
      </c>
      <c r="F77" s="443">
        <f t="shared" ref="F77:O77" si="26">IF(SUM($C$47:$C$61)=0,"n/a",(E77+F75-F62))</f>
        <v>0</v>
      </c>
      <c r="G77" s="443">
        <f>IF(SUM($C$47:$C$61)=0,"n/a",(F77+G75-G62))</f>
        <v>0</v>
      </c>
      <c r="H77" s="443">
        <f t="shared" si="26"/>
        <v>0</v>
      </c>
      <c r="I77" s="443">
        <f t="shared" si="26"/>
        <v>0</v>
      </c>
      <c r="J77" s="443">
        <f t="shared" si="26"/>
        <v>0</v>
      </c>
      <c r="K77" s="443">
        <f t="shared" si="26"/>
        <v>0</v>
      </c>
      <c r="L77" s="443">
        <f t="shared" si="26"/>
        <v>0</v>
      </c>
      <c r="M77" s="443">
        <f>IF(SUM($C$47:$C$61)=0,"n/a",(L77+M75-M62))</f>
        <v>0</v>
      </c>
      <c r="N77" s="443">
        <f t="shared" si="26"/>
        <v>0</v>
      </c>
      <c r="O77" s="443">
        <f t="shared" si="26"/>
        <v>0</v>
      </c>
      <c r="P77" s="39"/>
    </row>
    <row r="78" spans="1:16" ht="15.75">
      <c r="D78" s="669" t="str">
        <f>IF(SUM($C$47:$C$61)=0," ",IF(OR(D77&lt;0,D77&lt;0,E77&lt;0,F77&lt;0,G77&lt;0,H77&lt;0,I77&lt;0,J77&lt;0,K77&lt;0,L77&lt;0,M77&lt;0,N77&lt;0),"More stock needs to be purchased"," "))</f>
        <v xml:space="preserve"> </v>
      </c>
      <c r="E78" s="669"/>
      <c r="F78" s="669"/>
      <c r="G78" s="669"/>
      <c r="H78" s="669"/>
      <c r="I78" s="669"/>
      <c r="J78" s="669"/>
      <c r="K78" s="669"/>
      <c r="L78" s="669"/>
      <c r="M78" s="669"/>
      <c r="N78" s="669"/>
      <c r="O78" s="669"/>
    </row>
  </sheetData>
  <mergeCells count="42">
    <mergeCell ref="A1:B1"/>
    <mergeCell ref="C1:Q1"/>
    <mergeCell ref="A3:Q5"/>
    <mergeCell ref="A6:B7"/>
    <mergeCell ref="C6:C22"/>
    <mergeCell ref="D7:Q7"/>
    <mergeCell ref="A8:B8"/>
    <mergeCell ref="A9:B9"/>
    <mergeCell ref="A10:B10"/>
    <mergeCell ref="A11:B11"/>
    <mergeCell ref="A2:Q2"/>
    <mergeCell ref="A12:B12"/>
    <mergeCell ref="A13:B13"/>
    <mergeCell ref="A14:B14"/>
    <mergeCell ref="A15:B15"/>
    <mergeCell ref="A16:B16"/>
    <mergeCell ref="A41:C41"/>
    <mergeCell ref="A43:C43"/>
    <mergeCell ref="A45:P45"/>
    <mergeCell ref="A62:C62"/>
    <mergeCell ref="A64:P64"/>
    <mergeCell ref="A19:B19"/>
    <mergeCell ref="A20:B20"/>
    <mergeCell ref="A21:B21"/>
    <mergeCell ref="A22:B22"/>
    <mergeCell ref="A23:C23"/>
    <mergeCell ref="A17:B17"/>
    <mergeCell ref="D78:O78"/>
    <mergeCell ref="A66:B66"/>
    <mergeCell ref="A67:B67"/>
    <mergeCell ref="A68:B68"/>
    <mergeCell ref="A69:B69"/>
    <mergeCell ref="A70:B70"/>
    <mergeCell ref="A71:B71"/>
    <mergeCell ref="A72:B72"/>
    <mergeCell ref="A73:B73"/>
    <mergeCell ref="A74:B74"/>
    <mergeCell ref="A75:C75"/>
    <mergeCell ref="A77:C77"/>
    <mergeCell ref="A65:B65"/>
    <mergeCell ref="C65:P65"/>
    <mergeCell ref="A18:B18"/>
  </mergeCells>
  <conditionalFormatting sqref="D77:O77">
    <cfRule type="cellIs" dxfId="7" priority="1" stopIfTrue="1" operator="lessThan">
      <formula>1</formula>
    </cfRule>
  </conditionalFormatting>
  <dataValidations count="3">
    <dataValidation type="list" allowBlank="1" showInputMessage="1" showErrorMessage="1" sqref="B26:B40" xr:uid="{CC343CEE-8157-448E-AF06-D7D26A96AFCE}">
      <formula1>$S$7:$S$8</formula1>
    </dataValidation>
    <dataValidation type="whole" allowBlank="1" showInputMessage="1" showErrorMessage="1" error="Amounts must be in whole dollars" sqref="D67:O74" xr:uid="{A0565C74-8900-44C5-AF32-154B2EE391B7}">
      <formula1>1</formula1>
      <formula2>999999</formula2>
    </dataValidation>
    <dataValidation allowBlank="1" showErrorMessage="1" sqref="C47:C61" xr:uid="{6A3BD57E-324E-4B33-BB16-729B93B6C00C}"/>
  </dataValidations>
  <pageMargins left="0.25" right="0.25" top="0.75" bottom="0.75" header="0.3" footer="0.3"/>
  <pageSetup paperSize="9" scale="42" orientation="portrait" r:id="rId1"/>
  <headerFooter alignWithMargins="0">
    <oddHeader>&amp;L&amp;A&amp;CSelf-Employment Assistance</oddHeader>
  </headerFooter>
  <rowBreaks count="1" manualBreakCount="1">
    <brk id="44" max="16"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2EAA-E65A-407C-A02D-32F4374F957A}">
  <sheetPr>
    <tabColor theme="1" tint="-0.249977111117893"/>
    <pageSetUpPr fitToPage="1"/>
  </sheetPr>
  <dimension ref="A1:S78"/>
  <sheetViews>
    <sheetView zoomScale="80" zoomScaleNormal="80" workbookViewId="0">
      <selection activeCell="A3" sqref="A3:Q5"/>
    </sheetView>
  </sheetViews>
  <sheetFormatPr defaultColWidth="9.28515625" defaultRowHeight="15"/>
  <cols>
    <col min="1" max="1" width="33.28515625" style="196" customWidth="1"/>
    <col min="2" max="2" width="14.5703125" style="196" customWidth="1"/>
    <col min="3" max="3" width="13" style="196" customWidth="1"/>
    <col min="4" max="16" width="12.7109375" style="196" customWidth="1"/>
    <col min="17" max="17" width="18.5703125" style="196" customWidth="1"/>
    <col min="18" max="18" width="12.42578125" style="196" customWidth="1"/>
    <col min="19" max="19" width="0" style="196" hidden="1" customWidth="1"/>
    <col min="20" max="16384" width="9.28515625" style="196"/>
  </cols>
  <sheetData>
    <row r="1" spans="1:19" ht="34.9" customHeight="1">
      <c r="A1" s="526" t="s">
        <v>181</v>
      </c>
      <c r="B1" s="526"/>
      <c r="C1" s="583" t="str">
        <f>'Set Up Details'!C2</f>
        <v>Test1</v>
      </c>
      <c r="D1" s="583"/>
      <c r="E1" s="583"/>
      <c r="F1" s="583"/>
      <c r="G1" s="583"/>
      <c r="H1" s="583"/>
      <c r="I1" s="583"/>
      <c r="J1" s="583"/>
      <c r="K1" s="583"/>
      <c r="L1" s="583"/>
      <c r="M1" s="583"/>
      <c r="N1" s="583"/>
      <c r="O1" s="583"/>
      <c r="P1" s="583"/>
      <c r="Q1" s="583"/>
    </row>
    <row r="2" spans="1:19" ht="34.9" customHeight="1" thickBot="1">
      <c r="A2" s="679"/>
      <c r="B2" s="679"/>
      <c r="C2" s="679"/>
      <c r="D2" s="679"/>
      <c r="E2" s="679"/>
      <c r="F2" s="679"/>
      <c r="G2" s="679"/>
      <c r="H2" s="679"/>
      <c r="I2" s="679"/>
      <c r="J2" s="679"/>
      <c r="K2" s="679"/>
      <c r="L2" s="679"/>
      <c r="M2" s="679"/>
      <c r="N2" s="679"/>
      <c r="O2" s="679"/>
      <c r="P2" s="679"/>
      <c r="Q2" s="679"/>
    </row>
    <row r="3" spans="1:19" ht="13.5" customHeight="1">
      <c r="A3" s="675" t="s">
        <v>250</v>
      </c>
      <c r="B3" s="675"/>
      <c r="C3" s="675"/>
      <c r="D3" s="675"/>
      <c r="E3" s="675"/>
      <c r="F3" s="675"/>
      <c r="G3" s="675"/>
      <c r="H3" s="675"/>
      <c r="I3" s="675"/>
      <c r="J3" s="675"/>
      <c r="K3" s="675"/>
      <c r="L3" s="675"/>
      <c r="M3" s="675"/>
      <c r="N3" s="675"/>
      <c r="O3" s="675"/>
      <c r="P3" s="675"/>
      <c r="Q3" s="675"/>
    </row>
    <row r="4" spans="1:19" ht="15.6" customHeight="1">
      <c r="A4" s="675"/>
      <c r="B4" s="675"/>
      <c r="C4" s="675"/>
      <c r="D4" s="675"/>
      <c r="E4" s="675"/>
      <c r="F4" s="675"/>
      <c r="G4" s="675"/>
      <c r="H4" s="675"/>
      <c r="I4" s="675"/>
      <c r="J4" s="675"/>
      <c r="K4" s="675"/>
      <c r="L4" s="675"/>
      <c r="M4" s="675"/>
      <c r="N4" s="675"/>
      <c r="O4" s="675"/>
      <c r="P4" s="675"/>
      <c r="Q4" s="675"/>
    </row>
    <row r="5" spans="1:19" ht="9" customHeight="1">
      <c r="A5" s="675"/>
      <c r="B5" s="675"/>
      <c r="C5" s="675"/>
      <c r="D5" s="675"/>
      <c r="E5" s="675"/>
      <c r="F5" s="675"/>
      <c r="G5" s="675"/>
      <c r="H5" s="675"/>
      <c r="I5" s="675"/>
      <c r="J5" s="675"/>
      <c r="K5" s="675"/>
      <c r="L5" s="675"/>
      <c r="M5" s="675"/>
      <c r="N5" s="675"/>
      <c r="O5" s="675"/>
      <c r="P5" s="675"/>
      <c r="Q5" s="675"/>
    </row>
    <row r="6" spans="1:19" ht="25.9" customHeight="1">
      <c r="A6" s="677" t="s">
        <v>219</v>
      </c>
      <c r="B6" s="677"/>
      <c r="C6" s="583" t="s">
        <v>229</v>
      </c>
      <c r="D6" s="488" t="str">
        <f>'Tables and Calculations'!B2</f>
        <v>Jan</v>
      </c>
      <c r="E6" s="488" t="str">
        <f>'Tables and Calculations'!C2</f>
        <v>Feb</v>
      </c>
      <c r="F6" s="488" t="str">
        <f>'Tables and Calculations'!D2</f>
        <v>Mar</v>
      </c>
      <c r="G6" s="488" t="str">
        <f>'Tables and Calculations'!E2</f>
        <v>Apr</v>
      </c>
      <c r="H6" s="488" t="str">
        <f>'Tables and Calculations'!F2</f>
        <v>May</v>
      </c>
      <c r="I6" s="488" t="str">
        <f>'Tables and Calculations'!G2</f>
        <v>Jun</v>
      </c>
      <c r="J6" s="488" t="str">
        <f>'Tables and Calculations'!H2</f>
        <v>Jul</v>
      </c>
      <c r="K6" s="488" t="str">
        <f>'Tables and Calculations'!I2</f>
        <v>Aug</v>
      </c>
      <c r="L6" s="488" t="str">
        <f>'Tables and Calculations'!J2</f>
        <v>Sep</v>
      </c>
      <c r="M6" s="488" t="str">
        <f>'Tables and Calculations'!K2</f>
        <v>Oct</v>
      </c>
      <c r="N6" s="488" t="str">
        <f>'Tables and Calculations'!L2</f>
        <v>Nov</v>
      </c>
      <c r="O6" s="488" t="str">
        <f>'Tables and Calculations'!M2</f>
        <v>Dec</v>
      </c>
      <c r="P6" s="488" t="s">
        <v>60</v>
      </c>
      <c r="Q6" s="488" t="s">
        <v>230</v>
      </c>
    </row>
    <row r="7" spans="1:19" ht="18" customHeight="1" thickBot="1">
      <c r="A7" s="677"/>
      <c r="B7" s="677"/>
      <c r="C7" s="583"/>
      <c r="D7" s="678" t="s">
        <v>231</v>
      </c>
      <c r="E7" s="678"/>
      <c r="F7" s="678"/>
      <c r="G7" s="678"/>
      <c r="H7" s="678"/>
      <c r="I7" s="678"/>
      <c r="J7" s="678"/>
      <c r="K7" s="678"/>
      <c r="L7" s="678"/>
      <c r="M7" s="678"/>
      <c r="N7" s="678"/>
      <c r="O7" s="678"/>
      <c r="P7" s="678"/>
      <c r="Q7" s="678"/>
      <c r="S7" s="196" t="s">
        <v>35</v>
      </c>
    </row>
    <row r="8" spans="1:19" ht="18" customHeight="1" thickBot="1">
      <c r="A8" s="588" t="str">
        <f>IF(ISBLANK('Sales Details'!A6)," ",('Sales Details'!A6))</f>
        <v>Test-category-1</v>
      </c>
      <c r="B8" s="588"/>
      <c r="C8" s="583"/>
      <c r="D8" s="494"/>
      <c r="E8" s="494"/>
      <c r="F8" s="494"/>
      <c r="G8" s="494"/>
      <c r="H8" s="494"/>
      <c r="I8" s="494"/>
      <c r="J8" s="494"/>
      <c r="K8" s="494"/>
      <c r="L8" s="494"/>
      <c r="M8" s="494"/>
      <c r="N8" s="494"/>
      <c r="O8" s="494"/>
      <c r="P8" s="445">
        <f t="shared" ref="P8:P22" si="0">SUM(D8:O8)</f>
        <v>0</v>
      </c>
      <c r="Q8" s="199">
        <f t="shared" ref="Q8:Q22" si="1">IF(ISERROR(P8/$P$23),0,P8/$P$23)</f>
        <v>0</v>
      </c>
      <c r="S8" s="196" t="s">
        <v>36</v>
      </c>
    </row>
    <row r="9" spans="1:19" ht="18" customHeight="1" thickBot="1">
      <c r="A9" s="588" t="str">
        <f>IF(ISBLANK('Sales Details'!A7)," ",('Sales Details'!A7))</f>
        <v>Test-category-2</v>
      </c>
      <c r="B9" s="588"/>
      <c r="C9" s="583"/>
      <c r="D9" s="494"/>
      <c r="E9" s="494"/>
      <c r="F9" s="494"/>
      <c r="G9" s="494"/>
      <c r="H9" s="494"/>
      <c r="I9" s="494"/>
      <c r="J9" s="494"/>
      <c r="K9" s="494"/>
      <c r="L9" s="494"/>
      <c r="M9" s="494"/>
      <c r="N9" s="494"/>
      <c r="O9" s="494"/>
      <c r="P9" s="445">
        <f t="shared" si="0"/>
        <v>0</v>
      </c>
      <c r="Q9" s="200">
        <f t="shared" si="1"/>
        <v>0</v>
      </c>
    </row>
    <row r="10" spans="1:19" ht="18" customHeight="1" thickBot="1">
      <c r="A10" s="588" t="str">
        <f>IF(ISBLANK('Sales Details'!A8)," ",('Sales Details'!A8))</f>
        <v>Test-category-3</v>
      </c>
      <c r="B10" s="588"/>
      <c r="C10" s="583"/>
      <c r="D10" s="494"/>
      <c r="E10" s="494"/>
      <c r="F10" s="494"/>
      <c r="G10" s="494"/>
      <c r="H10" s="494"/>
      <c r="I10" s="494"/>
      <c r="J10" s="494"/>
      <c r="K10" s="494"/>
      <c r="L10" s="494"/>
      <c r="M10" s="494"/>
      <c r="N10" s="494"/>
      <c r="O10" s="494"/>
      <c r="P10" s="445">
        <f t="shared" si="0"/>
        <v>0</v>
      </c>
      <c r="Q10" s="200">
        <f t="shared" si="1"/>
        <v>0</v>
      </c>
    </row>
    <row r="11" spans="1:19" ht="18" customHeight="1" thickBot="1">
      <c r="A11" s="588" t="str">
        <f>IF(ISBLANK('Sales Details'!A9)," ",('Sales Details'!A9))</f>
        <v xml:space="preserve"> </v>
      </c>
      <c r="B11" s="588"/>
      <c r="C11" s="583"/>
      <c r="D11" s="494"/>
      <c r="E11" s="494"/>
      <c r="F11" s="494"/>
      <c r="G11" s="494"/>
      <c r="H11" s="494"/>
      <c r="I11" s="494"/>
      <c r="J11" s="494"/>
      <c r="K11" s="494"/>
      <c r="L11" s="494"/>
      <c r="M11" s="494"/>
      <c r="N11" s="494"/>
      <c r="O11" s="494"/>
      <c r="P11" s="445">
        <f t="shared" si="0"/>
        <v>0</v>
      </c>
      <c r="Q11" s="200">
        <f t="shared" si="1"/>
        <v>0</v>
      </c>
    </row>
    <row r="12" spans="1:19" ht="18" customHeight="1" thickBot="1">
      <c r="A12" s="588" t="str">
        <f>IF(ISBLANK('Sales Details'!A10)," ",('Sales Details'!A10))</f>
        <v xml:space="preserve"> </v>
      </c>
      <c r="B12" s="588"/>
      <c r="C12" s="583"/>
      <c r="D12" s="494"/>
      <c r="E12" s="494"/>
      <c r="F12" s="494"/>
      <c r="G12" s="494"/>
      <c r="H12" s="494"/>
      <c r="I12" s="494"/>
      <c r="J12" s="494"/>
      <c r="K12" s="494"/>
      <c r="L12" s="494"/>
      <c r="M12" s="494"/>
      <c r="N12" s="494"/>
      <c r="O12" s="494"/>
      <c r="P12" s="445">
        <f t="shared" si="0"/>
        <v>0</v>
      </c>
      <c r="Q12" s="200">
        <f t="shared" si="1"/>
        <v>0</v>
      </c>
    </row>
    <row r="13" spans="1:19" ht="18" customHeight="1" thickBot="1">
      <c r="A13" s="588" t="str">
        <f>IF(ISBLANK('Sales Details'!A11)," ",('Sales Details'!A11))</f>
        <v xml:space="preserve"> </v>
      </c>
      <c r="B13" s="588"/>
      <c r="C13" s="583"/>
      <c r="D13" s="494"/>
      <c r="E13" s="494"/>
      <c r="F13" s="494"/>
      <c r="G13" s="494"/>
      <c r="H13" s="494"/>
      <c r="I13" s="494"/>
      <c r="J13" s="494"/>
      <c r="K13" s="494"/>
      <c r="L13" s="494"/>
      <c r="M13" s="494"/>
      <c r="N13" s="494"/>
      <c r="O13" s="494"/>
      <c r="P13" s="445">
        <f t="shared" si="0"/>
        <v>0</v>
      </c>
      <c r="Q13" s="200">
        <f t="shared" si="1"/>
        <v>0</v>
      </c>
    </row>
    <row r="14" spans="1:19" ht="18" customHeight="1" thickBot="1">
      <c r="A14" s="588" t="str">
        <f>IF(ISBLANK('Sales Details'!A12)," ",('Sales Details'!A12))</f>
        <v xml:space="preserve"> </v>
      </c>
      <c r="B14" s="588"/>
      <c r="C14" s="583"/>
      <c r="D14" s="494"/>
      <c r="E14" s="494"/>
      <c r="F14" s="494"/>
      <c r="G14" s="494"/>
      <c r="H14" s="494"/>
      <c r="I14" s="494"/>
      <c r="J14" s="494"/>
      <c r="K14" s="494"/>
      <c r="L14" s="494"/>
      <c r="M14" s="494"/>
      <c r="N14" s="494"/>
      <c r="O14" s="494"/>
      <c r="P14" s="445">
        <f t="shared" si="0"/>
        <v>0</v>
      </c>
      <c r="Q14" s="200">
        <f t="shared" si="1"/>
        <v>0</v>
      </c>
    </row>
    <row r="15" spans="1:19" ht="18" customHeight="1" thickBot="1">
      <c r="A15" s="588" t="str">
        <f>IF(ISBLANK('Sales Details'!A13)," ",('Sales Details'!A13))</f>
        <v xml:space="preserve"> </v>
      </c>
      <c r="B15" s="588"/>
      <c r="C15" s="583"/>
      <c r="D15" s="494"/>
      <c r="E15" s="494"/>
      <c r="F15" s="494"/>
      <c r="G15" s="494"/>
      <c r="H15" s="494"/>
      <c r="I15" s="494"/>
      <c r="J15" s="494"/>
      <c r="K15" s="494"/>
      <c r="L15" s="494"/>
      <c r="M15" s="494"/>
      <c r="N15" s="494"/>
      <c r="O15" s="494"/>
      <c r="P15" s="445">
        <f t="shared" si="0"/>
        <v>0</v>
      </c>
      <c r="Q15" s="200">
        <f t="shared" si="1"/>
        <v>0</v>
      </c>
    </row>
    <row r="16" spans="1:19" ht="18" customHeight="1" thickBot="1">
      <c r="A16" s="588" t="str">
        <f>IF(ISBLANK('Sales Details'!A14)," ",('Sales Details'!A14))</f>
        <v xml:space="preserve"> </v>
      </c>
      <c r="B16" s="588"/>
      <c r="C16" s="583"/>
      <c r="D16" s="494"/>
      <c r="E16" s="494"/>
      <c r="F16" s="494"/>
      <c r="G16" s="494"/>
      <c r="H16" s="494"/>
      <c r="I16" s="494"/>
      <c r="J16" s="494"/>
      <c r="K16" s="494"/>
      <c r="L16" s="494"/>
      <c r="M16" s="494"/>
      <c r="N16" s="494"/>
      <c r="O16" s="494"/>
      <c r="P16" s="445">
        <f t="shared" si="0"/>
        <v>0</v>
      </c>
      <c r="Q16" s="200">
        <f t="shared" si="1"/>
        <v>0</v>
      </c>
    </row>
    <row r="17" spans="1:17" ht="18" customHeight="1" thickBot="1">
      <c r="A17" s="588" t="str">
        <f>IF(ISBLANK('Sales Details'!A15)," ",('Sales Details'!A15))</f>
        <v xml:space="preserve"> </v>
      </c>
      <c r="B17" s="588"/>
      <c r="C17" s="583"/>
      <c r="D17" s="494"/>
      <c r="E17" s="494"/>
      <c r="F17" s="494"/>
      <c r="G17" s="494"/>
      <c r="H17" s="494"/>
      <c r="I17" s="494"/>
      <c r="J17" s="494"/>
      <c r="K17" s="494"/>
      <c r="L17" s="494"/>
      <c r="M17" s="494"/>
      <c r="N17" s="494"/>
      <c r="O17" s="494"/>
      <c r="P17" s="445">
        <f t="shared" si="0"/>
        <v>0</v>
      </c>
      <c r="Q17" s="200">
        <f t="shared" si="1"/>
        <v>0</v>
      </c>
    </row>
    <row r="18" spans="1:17" ht="18" customHeight="1" thickBot="1">
      <c r="A18" s="588" t="str">
        <f>IF(ISBLANK('Sales Details'!A16)," ",('Sales Details'!A16))</f>
        <v xml:space="preserve"> </v>
      </c>
      <c r="B18" s="588"/>
      <c r="C18" s="583"/>
      <c r="D18" s="494"/>
      <c r="E18" s="494"/>
      <c r="F18" s="494"/>
      <c r="G18" s="494"/>
      <c r="H18" s="494"/>
      <c r="I18" s="494"/>
      <c r="J18" s="494"/>
      <c r="K18" s="494"/>
      <c r="L18" s="494"/>
      <c r="M18" s="494"/>
      <c r="N18" s="494"/>
      <c r="O18" s="494"/>
      <c r="P18" s="445">
        <f t="shared" si="0"/>
        <v>0</v>
      </c>
      <c r="Q18" s="200">
        <f t="shared" si="1"/>
        <v>0</v>
      </c>
    </row>
    <row r="19" spans="1:17" ht="18" customHeight="1" thickBot="1">
      <c r="A19" s="588" t="str">
        <f>IF(ISBLANK('Sales Details'!A17)," ",('Sales Details'!A17))</f>
        <v xml:space="preserve"> </v>
      </c>
      <c r="B19" s="588"/>
      <c r="C19" s="583"/>
      <c r="D19" s="494"/>
      <c r="E19" s="494"/>
      <c r="F19" s="494"/>
      <c r="G19" s="494"/>
      <c r="H19" s="494"/>
      <c r="I19" s="494"/>
      <c r="J19" s="494"/>
      <c r="K19" s="494"/>
      <c r="L19" s="494"/>
      <c r="M19" s="494"/>
      <c r="N19" s="494"/>
      <c r="O19" s="494"/>
      <c r="P19" s="445">
        <f t="shared" si="0"/>
        <v>0</v>
      </c>
      <c r="Q19" s="200">
        <f t="shared" si="1"/>
        <v>0</v>
      </c>
    </row>
    <row r="20" spans="1:17" ht="18" customHeight="1" thickBot="1">
      <c r="A20" s="588" t="str">
        <f>IF(ISBLANK('Sales Details'!A18)," ",('Sales Details'!A18))</f>
        <v xml:space="preserve"> </v>
      </c>
      <c r="B20" s="588"/>
      <c r="C20" s="583"/>
      <c r="D20" s="494"/>
      <c r="E20" s="494"/>
      <c r="F20" s="494"/>
      <c r="G20" s="494"/>
      <c r="H20" s="494"/>
      <c r="I20" s="494"/>
      <c r="J20" s="494"/>
      <c r="K20" s="494"/>
      <c r="L20" s="494"/>
      <c r="M20" s="494"/>
      <c r="N20" s="494"/>
      <c r="O20" s="494"/>
      <c r="P20" s="445">
        <f t="shared" si="0"/>
        <v>0</v>
      </c>
      <c r="Q20" s="200">
        <f t="shared" si="1"/>
        <v>0</v>
      </c>
    </row>
    <row r="21" spans="1:17" ht="18" customHeight="1" thickBot="1">
      <c r="A21" s="588" t="str">
        <f>IF(ISBLANK('Sales Details'!A19)," ",('Sales Details'!A19))</f>
        <v xml:space="preserve"> </v>
      </c>
      <c r="B21" s="588"/>
      <c r="C21" s="583"/>
      <c r="D21" s="494"/>
      <c r="E21" s="494"/>
      <c r="F21" s="494"/>
      <c r="G21" s="494"/>
      <c r="H21" s="494"/>
      <c r="I21" s="494"/>
      <c r="J21" s="494"/>
      <c r="K21" s="494"/>
      <c r="L21" s="494"/>
      <c r="M21" s="494"/>
      <c r="N21" s="494"/>
      <c r="O21" s="494"/>
      <c r="P21" s="445">
        <f t="shared" si="0"/>
        <v>0</v>
      </c>
      <c r="Q21" s="200">
        <f t="shared" si="1"/>
        <v>0</v>
      </c>
    </row>
    <row r="22" spans="1:17" ht="18" customHeight="1" thickBot="1">
      <c r="A22" s="588" t="str">
        <f>IF(ISBLANK('Sales Details'!A20)," ",('Sales Details'!A20))</f>
        <v xml:space="preserve"> </v>
      </c>
      <c r="B22" s="588"/>
      <c r="C22" s="583"/>
      <c r="D22" s="494"/>
      <c r="E22" s="494"/>
      <c r="F22" s="494"/>
      <c r="G22" s="494"/>
      <c r="H22" s="494"/>
      <c r="I22" s="494"/>
      <c r="J22" s="494"/>
      <c r="K22" s="494"/>
      <c r="L22" s="494"/>
      <c r="M22" s="494"/>
      <c r="N22" s="494"/>
      <c r="O22" s="494"/>
      <c r="P22" s="445">
        <f t="shared" si="0"/>
        <v>0</v>
      </c>
      <c r="Q22" s="201">
        <f t="shared" si="1"/>
        <v>0</v>
      </c>
    </row>
    <row r="23" spans="1:17" ht="25.15" customHeight="1" thickBot="1">
      <c r="A23" s="674" t="s">
        <v>232</v>
      </c>
      <c r="B23" s="674"/>
      <c r="C23" s="674"/>
      <c r="D23" s="445">
        <f t="shared" ref="D23:P23" si="2">SUM(D8:D22)</f>
        <v>0</v>
      </c>
      <c r="E23" s="445">
        <f t="shared" si="2"/>
        <v>0</v>
      </c>
      <c r="F23" s="445">
        <f t="shared" si="2"/>
        <v>0</v>
      </c>
      <c r="G23" s="445">
        <f t="shared" si="2"/>
        <v>0</v>
      </c>
      <c r="H23" s="445">
        <f t="shared" si="2"/>
        <v>0</v>
      </c>
      <c r="I23" s="445">
        <f t="shared" si="2"/>
        <v>0</v>
      </c>
      <c r="J23" s="445">
        <f t="shared" si="2"/>
        <v>0</v>
      </c>
      <c r="K23" s="445">
        <f t="shared" si="2"/>
        <v>0</v>
      </c>
      <c r="L23" s="445">
        <f t="shared" si="2"/>
        <v>0</v>
      </c>
      <c r="M23" s="445">
        <f t="shared" si="2"/>
        <v>0</v>
      </c>
      <c r="N23" s="445">
        <f t="shared" si="2"/>
        <v>0</v>
      </c>
      <c r="O23" s="445">
        <f t="shared" si="2"/>
        <v>0</v>
      </c>
      <c r="P23" s="445">
        <f t="shared" si="2"/>
        <v>0</v>
      </c>
      <c r="Q23" s="202">
        <f>Q8+Q9+Q10+Q11+Q12+Q13+Q14+Q15+Q16+Q17+Q18+Q19+Q20+Q21+Q22</f>
        <v>0</v>
      </c>
    </row>
    <row r="24" spans="1:17" ht="15" customHeight="1" thickBot="1"/>
    <row r="25" spans="1:17" ht="32.65" customHeight="1" thickBot="1">
      <c r="A25" s="203" t="s">
        <v>233</v>
      </c>
      <c r="B25" s="194" t="s">
        <v>234</v>
      </c>
      <c r="C25" s="194" t="s">
        <v>235</v>
      </c>
      <c r="D25" s="204" t="str">
        <f>D6</f>
        <v>Jan</v>
      </c>
      <c r="E25" s="204" t="str">
        <f t="shared" ref="E25:P25" si="3">E6</f>
        <v>Feb</v>
      </c>
      <c r="F25" s="204" t="str">
        <f t="shared" si="3"/>
        <v>Mar</v>
      </c>
      <c r="G25" s="204" t="str">
        <f t="shared" si="3"/>
        <v>Apr</v>
      </c>
      <c r="H25" s="204" t="str">
        <f t="shared" si="3"/>
        <v>May</v>
      </c>
      <c r="I25" s="204" t="str">
        <f t="shared" si="3"/>
        <v>Jun</v>
      </c>
      <c r="J25" s="204" t="str">
        <f t="shared" si="3"/>
        <v>Jul</v>
      </c>
      <c r="K25" s="204" t="str">
        <f t="shared" si="3"/>
        <v>Aug</v>
      </c>
      <c r="L25" s="204" t="str">
        <f t="shared" si="3"/>
        <v>Sep</v>
      </c>
      <c r="M25" s="204" t="str">
        <f t="shared" si="3"/>
        <v>Oct</v>
      </c>
      <c r="N25" s="204" t="str">
        <f t="shared" si="3"/>
        <v>Nov</v>
      </c>
      <c r="O25" s="204" t="str">
        <f t="shared" si="3"/>
        <v>Dec</v>
      </c>
      <c r="P25" s="205" t="str">
        <f t="shared" si="3"/>
        <v>Total</v>
      </c>
      <c r="Q25" s="198" t="s">
        <v>236</v>
      </c>
    </row>
    <row r="26" spans="1:17" ht="18" customHeight="1" thickBot="1">
      <c r="A26" s="497" t="str">
        <f>IF(ISBLANK('Sales Details'!A6)," ",('Sales Details'!A6))</f>
        <v>Test-category-1</v>
      </c>
      <c r="B26" s="495"/>
      <c r="C26" s="206">
        <f>'Sales Details'!C6</f>
        <v>10000</v>
      </c>
      <c r="D26" s="443">
        <f t="shared" ref="D26:O40" si="4">INT($C26*D8)</f>
        <v>0</v>
      </c>
      <c r="E26" s="443">
        <f t="shared" si="4"/>
        <v>0</v>
      </c>
      <c r="F26" s="443">
        <f t="shared" si="4"/>
        <v>0</v>
      </c>
      <c r="G26" s="443">
        <f t="shared" si="4"/>
        <v>0</v>
      </c>
      <c r="H26" s="443">
        <f t="shared" si="4"/>
        <v>0</v>
      </c>
      <c r="I26" s="443">
        <f t="shared" si="4"/>
        <v>0</v>
      </c>
      <c r="J26" s="443">
        <f t="shared" si="4"/>
        <v>0</v>
      </c>
      <c r="K26" s="443">
        <f t="shared" si="4"/>
        <v>0</v>
      </c>
      <c r="L26" s="443">
        <f t="shared" si="4"/>
        <v>0</v>
      </c>
      <c r="M26" s="443">
        <f t="shared" si="4"/>
        <v>0</v>
      </c>
      <c r="N26" s="443">
        <f t="shared" si="4"/>
        <v>0</v>
      </c>
      <c r="O26" s="443">
        <f t="shared" si="4"/>
        <v>0</v>
      </c>
      <c r="P26" s="445">
        <f t="shared" ref="P26:P40" si="5">SUM(D26:O26)</f>
        <v>0</v>
      </c>
      <c r="Q26" s="207">
        <f t="shared" ref="Q26:Q40" si="6">IF(ISERROR(P26/$P$41),0,P26/$P$41)</f>
        <v>0</v>
      </c>
    </row>
    <row r="27" spans="1:17" ht="18" customHeight="1" thickBot="1">
      <c r="A27" s="497" t="str">
        <f>IF(ISBLANK('Sales Details'!A7)," ",('Sales Details'!A7))</f>
        <v>Test-category-2</v>
      </c>
      <c r="B27" s="495"/>
      <c r="C27" s="206">
        <f>'Sales Details'!C7</f>
        <v>5000</v>
      </c>
      <c r="D27" s="443">
        <f t="shared" si="4"/>
        <v>0</v>
      </c>
      <c r="E27" s="443">
        <f t="shared" si="4"/>
        <v>0</v>
      </c>
      <c r="F27" s="443">
        <f t="shared" si="4"/>
        <v>0</v>
      </c>
      <c r="G27" s="443">
        <f t="shared" si="4"/>
        <v>0</v>
      </c>
      <c r="H27" s="443">
        <f t="shared" si="4"/>
        <v>0</v>
      </c>
      <c r="I27" s="443">
        <f t="shared" si="4"/>
        <v>0</v>
      </c>
      <c r="J27" s="443">
        <f t="shared" si="4"/>
        <v>0</v>
      </c>
      <c r="K27" s="443">
        <f t="shared" si="4"/>
        <v>0</v>
      </c>
      <c r="L27" s="443">
        <f t="shared" si="4"/>
        <v>0</v>
      </c>
      <c r="M27" s="443">
        <f t="shared" si="4"/>
        <v>0</v>
      </c>
      <c r="N27" s="443">
        <f t="shared" si="4"/>
        <v>0</v>
      </c>
      <c r="O27" s="443">
        <f t="shared" si="4"/>
        <v>0</v>
      </c>
      <c r="P27" s="445">
        <f t="shared" si="5"/>
        <v>0</v>
      </c>
      <c r="Q27" s="208">
        <f t="shared" si="6"/>
        <v>0</v>
      </c>
    </row>
    <row r="28" spans="1:17" ht="18" customHeight="1" thickBot="1">
      <c r="A28" s="497" t="str">
        <f>IF(ISBLANK('Sales Details'!A8)," ",('Sales Details'!A8))</f>
        <v>Test-category-3</v>
      </c>
      <c r="B28" s="495"/>
      <c r="C28" s="206">
        <f>'Sales Details'!C8</f>
        <v>4000</v>
      </c>
      <c r="D28" s="443">
        <f t="shared" si="4"/>
        <v>0</v>
      </c>
      <c r="E28" s="443">
        <f t="shared" si="4"/>
        <v>0</v>
      </c>
      <c r="F28" s="443">
        <f t="shared" si="4"/>
        <v>0</v>
      </c>
      <c r="G28" s="443">
        <f t="shared" si="4"/>
        <v>0</v>
      </c>
      <c r="H28" s="443">
        <f t="shared" si="4"/>
        <v>0</v>
      </c>
      <c r="I28" s="443">
        <f t="shared" si="4"/>
        <v>0</v>
      </c>
      <c r="J28" s="443">
        <f t="shared" si="4"/>
        <v>0</v>
      </c>
      <c r="K28" s="443">
        <f t="shared" si="4"/>
        <v>0</v>
      </c>
      <c r="L28" s="443">
        <f t="shared" si="4"/>
        <v>0</v>
      </c>
      <c r="M28" s="443">
        <f t="shared" si="4"/>
        <v>0</v>
      </c>
      <c r="N28" s="443">
        <f t="shared" si="4"/>
        <v>0</v>
      </c>
      <c r="O28" s="443">
        <f t="shared" si="4"/>
        <v>0</v>
      </c>
      <c r="P28" s="445">
        <f t="shared" si="5"/>
        <v>0</v>
      </c>
      <c r="Q28" s="208">
        <f t="shared" si="6"/>
        <v>0</v>
      </c>
    </row>
    <row r="29" spans="1:17" ht="18" customHeight="1" thickBot="1">
      <c r="A29" s="497" t="str">
        <f>IF(ISBLANK('Sales Details'!A9)," ",('Sales Details'!A9))</f>
        <v xml:space="preserve"> </v>
      </c>
      <c r="B29" s="495"/>
      <c r="C29" s="206">
        <f>'Sales Details'!C9</f>
        <v>0</v>
      </c>
      <c r="D29" s="443">
        <f t="shared" si="4"/>
        <v>0</v>
      </c>
      <c r="E29" s="443">
        <f t="shared" si="4"/>
        <v>0</v>
      </c>
      <c r="F29" s="443">
        <f t="shared" si="4"/>
        <v>0</v>
      </c>
      <c r="G29" s="443">
        <f t="shared" si="4"/>
        <v>0</v>
      </c>
      <c r="H29" s="443">
        <f t="shared" si="4"/>
        <v>0</v>
      </c>
      <c r="I29" s="443">
        <f t="shared" si="4"/>
        <v>0</v>
      </c>
      <c r="J29" s="443">
        <f t="shared" si="4"/>
        <v>0</v>
      </c>
      <c r="K29" s="443">
        <f t="shared" si="4"/>
        <v>0</v>
      </c>
      <c r="L29" s="443">
        <f t="shared" si="4"/>
        <v>0</v>
      </c>
      <c r="M29" s="443">
        <f t="shared" si="4"/>
        <v>0</v>
      </c>
      <c r="N29" s="443">
        <f t="shared" si="4"/>
        <v>0</v>
      </c>
      <c r="O29" s="443">
        <f t="shared" si="4"/>
        <v>0</v>
      </c>
      <c r="P29" s="445">
        <f t="shared" si="5"/>
        <v>0</v>
      </c>
      <c r="Q29" s="208">
        <f t="shared" si="6"/>
        <v>0</v>
      </c>
    </row>
    <row r="30" spans="1:17" ht="18" customHeight="1" thickBot="1">
      <c r="A30" s="497" t="str">
        <f>IF(ISBLANK('Sales Details'!A10)," ",('Sales Details'!A10))</f>
        <v xml:space="preserve"> </v>
      </c>
      <c r="B30" s="495"/>
      <c r="C30" s="206">
        <f>'Sales Details'!C10</f>
        <v>0</v>
      </c>
      <c r="D30" s="443">
        <f t="shared" si="4"/>
        <v>0</v>
      </c>
      <c r="E30" s="443">
        <f t="shared" si="4"/>
        <v>0</v>
      </c>
      <c r="F30" s="443">
        <f t="shared" si="4"/>
        <v>0</v>
      </c>
      <c r="G30" s="443">
        <f t="shared" si="4"/>
        <v>0</v>
      </c>
      <c r="H30" s="443">
        <f t="shared" si="4"/>
        <v>0</v>
      </c>
      <c r="I30" s="443">
        <f t="shared" si="4"/>
        <v>0</v>
      </c>
      <c r="J30" s="443">
        <f t="shared" si="4"/>
        <v>0</v>
      </c>
      <c r="K30" s="443">
        <f t="shared" si="4"/>
        <v>0</v>
      </c>
      <c r="L30" s="443">
        <f t="shared" si="4"/>
        <v>0</v>
      </c>
      <c r="M30" s="443">
        <f t="shared" si="4"/>
        <v>0</v>
      </c>
      <c r="N30" s="443">
        <f t="shared" si="4"/>
        <v>0</v>
      </c>
      <c r="O30" s="443">
        <f t="shared" si="4"/>
        <v>0</v>
      </c>
      <c r="P30" s="445">
        <f t="shared" si="5"/>
        <v>0</v>
      </c>
      <c r="Q30" s="208">
        <f t="shared" si="6"/>
        <v>0</v>
      </c>
    </row>
    <row r="31" spans="1:17" ht="18" customHeight="1" thickBot="1">
      <c r="A31" s="497" t="str">
        <f>IF(ISBLANK('Sales Details'!A11)," ",('Sales Details'!A11))</f>
        <v xml:space="preserve"> </v>
      </c>
      <c r="B31" s="495"/>
      <c r="C31" s="206">
        <f>'Sales Details'!C11</f>
        <v>0</v>
      </c>
      <c r="D31" s="443">
        <f t="shared" si="4"/>
        <v>0</v>
      </c>
      <c r="E31" s="443">
        <f t="shared" si="4"/>
        <v>0</v>
      </c>
      <c r="F31" s="443">
        <f t="shared" si="4"/>
        <v>0</v>
      </c>
      <c r="G31" s="443">
        <f t="shared" si="4"/>
        <v>0</v>
      </c>
      <c r="H31" s="443">
        <f t="shared" si="4"/>
        <v>0</v>
      </c>
      <c r="I31" s="443">
        <f t="shared" si="4"/>
        <v>0</v>
      </c>
      <c r="J31" s="443">
        <f t="shared" si="4"/>
        <v>0</v>
      </c>
      <c r="K31" s="443">
        <f t="shared" si="4"/>
        <v>0</v>
      </c>
      <c r="L31" s="443">
        <f t="shared" si="4"/>
        <v>0</v>
      </c>
      <c r="M31" s="443">
        <f t="shared" si="4"/>
        <v>0</v>
      </c>
      <c r="N31" s="443">
        <f t="shared" si="4"/>
        <v>0</v>
      </c>
      <c r="O31" s="443">
        <f t="shared" si="4"/>
        <v>0</v>
      </c>
      <c r="P31" s="445">
        <f t="shared" si="5"/>
        <v>0</v>
      </c>
      <c r="Q31" s="208">
        <f t="shared" si="6"/>
        <v>0</v>
      </c>
    </row>
    <row r="32" spans="1:17" ht="18" customHeight="1" thickBot="1">
      <c r="A32" s="497" t="str">
        <f>IF(ISBLANK('Sales Details'!A12)," ",('Sales Details'!A12))</f>
        <v xml:space="preserve"> </v>
      </c>
      <c r="B32" s="495"/>
      <c r="C32" s="206">
        <f>'Sales Details'!C12</f>
        <v>0</v>
      </c>
      <c r="D32" s="443">
        <f t="shared" si="4"/>
        <v>0</v>
      </c>
      <c r="E32" s="443">
        <f t="shared" si="4"/>
        <v>0</v>
      </c>
      <c r="F32" s="443">
        <f t="shared" si="4"/>
        <v>0</v>
      </c>
      <c r="G32" s="443">
        <f t="shared" si="4"/>
        <v>0</v>
      </c>
      <c r="H32" s="443">
        <f t="shared" si="4"/>
        <v>0</v>
      </c>
      <c r="I32" s="443">
        <f t="shared" si="4"/>
        <v>0</v>
      </c>
      <c r="J32" s="443">
        <f t="shared" si="4"/>
        <v>0</v>
      </c>
      <c r="K32" s="443">
        <f t="shared" si="4"/>
        <v>0</v>
      </c>
      <c r="L32" s="443">
        <f t="shared" si="4"/>
        <v>0</v>
      </c>
      <c r="M32" s="443">
        <f t="shared" si="4"/>
        <v>0</v>
      </c>
      <c r="N32" s="443">
        <f t="shared" si="4"/>
        <v>0</v>
      </c>
      <c r="O32" s="443">
        <f t="shared" si="4"/>
        <v>0</v>
      </c>
      <c r="P32" s="445">
        <f t="shared" si="5"/>
        <v>0</v>
      </c>
      <c r="Q32" s="208">
        <f t="shared" si="6"/>
        <v>0</v>
      </c>
    </row>
    <row r="33" spans="1:17" ht="18" customHeight="1" thickBot="1">
      <c r="A33" s="497" t="str">
        <f>IF(ISBLANK('Sales Details'!A13)," ",('Sales Details'!A13))</f>
        <v xml:space="preserve"> </v>
      </c>
      <c r="B33" s="495"/>
      <c r="C33" s="206">
        <f>'Sales Details'!C13</f>
        <v>0</v>
      </c>
      <c r="D33" s="443">
        <f t="shared" si="4"/>
        <v>0</v>
      </c>
      <c r="E33" s="443">
        <f t="shared" si="4"/>
        <v>0</v>
      </c>
      <c r="F33" s="443">
        <f t="shared" si="4"/>
        <v>0</v>
      </c>
      <c r="G33" s="443">
        <f t="shared" si="4"/>
        <v>0</v>
      </c>
      <c r="H33" s="443">
        <f t="shared" si="4"/>
        <v>0</v>
      </c>
      <c r="I33" s="443">
        <f t="shared" si="4"/>
        <v>0</v>
      </c>
      <c r="J33" s="443">
        <f t="shared" si="4"/>
        <v>0</v>
      </c>
      <c r="K33" s="443">
        <f t="shared" si="4"/>
        <v>0</v>
      </c>
      <c r="L33" s="443">
        <f t="shared" si="4"/>
        <v>0</v>
      </c>
      <c r="M33" s="443">
        <f t="shared" si="4"/>
        <v>0</v>
      </c>
      <c r="N33" s="443">
        <f t="shared" si="4"/>
        <v>0</v>
      </c>
      <c r="O33" s="443">
        <f t="shared" si="4"/>
        <v>0</v>
      </c>
      <c r="P33" s="445">
        <f t="shared" si="5"/>
        <v>0</v>
      </c>
      <c r="Q33" s="208">
        <f t="shared" si="6"/>
        <v>0</v>
      </c>
    </row>
    <row r="34" spans="1:17" ht="18" customHeight="1" thickBot="1">
      <c r="A34" s="497" t="str">
        <f>IF(ISBLANK('Sales Details'!A14)," ",('Sales Details'!A14))</f>
        <v xml:space="preserve"> </v>
      </c>
      <c r="B34" s="495"/>
      <c r="C34" s="206">
        <f>'Sales Details'!C14</f>
        <v>0</v>
      </c>
      <c r="D34" s="443">
        <f t="shared" si="4"/>
        <v>0</v>
      </c>
      <c r="E34" s="443">
        <f t="shared" si="4"/>
        <v>0</v>
      </c>
      <c r="F34" s="443">
        <f t="shared" si="4"/>
        <v>0</v>
      </c>
      <c r="G34" s="443">
        <f t="shared" si="4"/>
        <v>0</v>
      </c>
      <c r="H34" s="443">
        <f t="shared" si="4"/>
        <v>0</v>
      </c>
      <c r="I34" s="443">
        <f t="shared" si="4"/>
        <v>0</v>
      </c>
      <c r="J34" s="443">
        <f t="shared" si="4"/>
        <v>0</v>
      </c>
      <c r="K34" s="443">
        <f t="shared" si="4"/>
        <v>0</v>
      </c>
      <c r="L34" s="443"/>
      <c r="M34" s="443">
        <f t="shared" si="4"/>
        <v>0</v>
      </c>
      <c r="N34" s="443">
        <f t="shared" si="4"/>
        <v>0</v>
      </c>
      <c r="O34" s="443">
        <f t="shared" si="4"/>
        <v>0</v>
      </c>
      <c r="P34" s="445">
        <f t="shared" si="5"/>
        <v>0</v>
      </c>
      <c r="Q34" s="208">
        <f t="shared" si="6"/>
        <v>0</v>
      </c>
    </row>
    <row r="35" spans="1:17" ht="18" customHeight="1" thickBot="1">
      <c r="A35" s="497" t="str">
        <f>IF(ISBLANK('Sales Details'!A15)," ",('Sales Details'!A15))</f>
        <v xml:space="preserve"> </v>
      </c>
      <c r="B35" s="495"/>
      <c r="C35" s="206">
        <f>'Sales Details'!C15</f>
        <v>0</v>
      </c>
      <c r="D35" s="443">
        <f t="shared" si="4"/>
        <v>0</v>
      </c>
      <c r="E35" s="443">
        <f t="shared" si="4"/>
        <v>0</v>
      </c>
      <c r="F35" s="443">
        <f t="shared" si="4"/>
        <v>0</v>
      </c>
      <c r="G35" s="443">
        <f t="shared" si="4"/>
        <v>0</v>
      </c>
      <c r="H35" s="443">
        <f t="shared" si="4"/>
        <v>0</v>
      </c>
      <c r="I35" s="443">
        <f t="shared" si="4"/>
        <v>0</v>
      </c>
      <c r="J35" s="443">
        <f t="shared" si="4"/>
        <v>0</v>
      </c>
      <c r="K35" s="443">
        <f t="shared" si="4"/>
        <v>0</v>
      </c>
      <c r="L35" s="443">
        <f t="shared" si="4"/>
        <v>0</v>
      </c>
      <c r="M35" s="443">
        <f t="shared" si="4"/>
        <v>0</v>
      </c>
      <c r="N35" s="443">
        <f t="shared" si="4"/>
        <v>0</v>
      </c>
      <c r="O35" s="443">
        <f t="shared" si="4"/>
        <v>0</v>
      </c>
      <c r="P35" s="445">
        <f t="shared" si="5"/>
        <v>0</v>
      </c>
      <c r="Q35" s="208">
        <f t="shared" si="6"/>
        <v>0</v>
      </c>
    </row>
    <row r="36" spans="1:17" ht="18" customHeight="1" thickBot="1">
      <c r="A36" s="497" t="str">
        <f>IF(ISBLANK('Sales Details'!A16)," ",('Sales Details'!A16))</f>
        <v xml:space="preserve"> </v>
      </c>
      <c r="B36" s="495"/>
      <c r="C36" s="206">
        <f>'Sales Details'!C16</f>
        <v>0</v>
      </c>
      <c r="D36" s="443">
        <f t="shared" si="4"/>
        <v>0</v>
      </c>
      <c r="E36" s="443">
        <f t="shared" si="4"/>
        <v>0</v>
      </c>
      <c r="F36" s="443">
        <f t="shared" si="4"/>
        <v>0</v>
      </c>
      <c r="G36" s="443">
        <f t="shared" si="4"/>
        <v>0</v>
      </c>
      <c r="H36" s="443">
        <f t="shared" si="4"/>
        <v>0</v>
      </c>
      <c r="I36" s="443">
        <f t="shared" si="4"/>
        <v>0</v>
      </c>
      <c r="J36" s="443">
        <f t="shared" si="4"/>
        <v>0</v>
      </c>
      <c r="K36" s="443">
        <f t="shared" si="4"/>
        <v>0</v>
      </c>
      <c r="L36" s="443">
        <f t="shared" si="4"/>
        <v>0</v>
      </c>
      <c r="M36" s="443">
        <f t="shared" si="4"/>
        <v>0</v>
      </c>
      <c r="N36" s="443">
        <f t="shared" si="4"/>
        <v>0</v>
      </c>
      <c r="O36" s="443">
        <f t="shared" si="4"/>
        <v>0</v>
      </c>
      <c r="P36" s="445">
        <f t="shared" si="5"/>
        <v>0</v>
      </c>
      <c r="Q36" s="208">
        <f t="shared" si="6"/>
        <v>0</v>
      </c>
    </row>
    <row r="37" spans="1:17" ht="18" customHeight="1" thickBot="1">
      <c r="A37" s="497" t="str">
        <f>IF(ISBLANK('Sales Details'!A17)," ",('Sales Details'!A17))</f>
        <v xml:space="preserve"> </v>
      </c>
      <c r="B37" s="495"/>
      <c r="C37" s="206">
        <f>'Sales Details'!C17</f>
        <v>0</v>
      </c>
      <c r="D37" s="443">
        <f t="shared" si="4"/>
        <v>0</v>
      </c>
      <c r="E37" s="443">
        <f t="shared" si="4"/>
        <v>0</v>
      </c>
      <c r="F37" s="443">
        <f t="shared" si="4"/>
        <v>0</v>
      </c>
      <c r="G37" s="443">
        <f t="shared" si="4"/>
        <v>0</v>
      </c>
      <c r="H37" s="443">
        <f t="shared" si="4"/>
        <v>0</v>
      </c>
      <c r="I37" s="443">
        <f t="shared" si="4"/>
        <v>0</v>
      </c>
      <c r="J37" s="443">
        <f t="shared" si="4"/>
        <v>0</v>
      </c>
      <c r="K37" s="443">
        <f t="shared" si="4"/>
        <v>0</v>
      </c>
      <c r="L37" s="443">
        <f t="shared" si="4"/>
        <v>0</v>
      </c>
      <c r="M37" s="443">
        <f t="shared" si="4"/>
        <v>0</v>
      </c>
      <c r="N37" s="443">
        <f t="shared" si="4"/>
        <v>0</v>
      </c>
      <c r="O37" s="443">
        <f t="shared" si="4"/>
        <v>0</v>
      </c>
      <c r="P37" s="445">
        <f t="shared" si="5"/>
        <v>0</v>
      </c>
      <c r="Q37" s="208">
        <f t="shared" si="6"/>
        <v>0</v>
      </c>
    </row>
    <row r="38" spans="1:17" ht="18" customHeight="1" thickBot="1">
      <c r="A38" s="497" t="str">
        <f>IF(ISBLANK('Sales Details'!A18)," ",('Sales Details'!A18))</f>
        <v xml:space="preserve"> </v>
      </c>
      <c r="B38" s="495"/>
      <c r="C38" s="206">
        <f>'Sales Details'!C18</f>
        <v>0</v>
      </c>
      <c r="D38" s="443">
        <f t="shared" si="4"/>
        <v>0</v>
      </c>
      <c r="E38" s="443">
        <f t="shared" si="4"/>
        <v>0</v>
      </c>
      <c r="F38" s="443">
        <f t="shared" si="4"/>
        <v>0</v>
      </c>
      <c r="G38" s="443">
        <f t="shared" si="4"/>
        <v>0</v>
      </c>
      <c r="H38" s="443">
        <f t="shared" si="4"/>
        <v>0</v>
      </c>
      <c r="I38" s="443">
        <f t="shared" si="4"/>
        <v>0</v>
      </c>
      <c r="J38" s="443">
        <f t="shared" si="4"/>
        <v>0</v>
      </c>
      <c r="K38" s="443">
        <f t="shared" si="4"/>
        <v>0</v>
      </c>
      <c r="L38" s="443">
        <f t="shared" si="4"/>
        <v>0</v>
      </c>
      <c r="M38" s="443">
        <f t="shared" si="4"/>
        <v>0</v>
      </c>
      <c r="N38" s="443">
        <f t="shared" si="4"/>
        <v>0</v>
      </c>
      <c r="O38" s="443">
        <f t="shared" si="4"/>
        <v>0</v>
      </c>
      <c r="P38" s="445">
        <f t="shared" si="5"/>
        <v>0</v>
      </c>
      <c r="Q38" s="208">
        <f t="shared" si="6"/>
        <v>0</v>
      </c>
    </row>
    <row r="39" spans="1:17" ht="18" customHeight="1" thickBot="1">
      <c r="A39" s="497" t="str">
        <f>IF(ISBLANK('Sales Details'!A19)," ",('Sales Details'!A19))</f>
        <v xml:space="preserve"> </v>
      </c>
      <c r="B39" s="495"/>
      <c r="C39" s="206">
        <f>'Sales Details'!C19</f>
        <v>0</v>
      </c>
      <c r="D39" s="443">
        <f t="shared" si="4"/>
        <v>0</v>
      </c>
      <c r="E39" s="443">
        <f t="shared" si="4"/>
        <v>0</v>
      </c>
      <c r="F39" s="443">
        <f t="shared" si="4"/>
        <v>0</v>
      </c>
      <c r="G39" s="443">
        <f t="shared" si="4"/>
        <v>0</v>
      </c>
      <c r="H39" s="443">
        <f t="shared" si="4"/>
        <v>0</v>
      </c>
      <c r="I39" s="443">
        <f t="shared" si="4"/>
        <v>0</v>
      </c>
      <c r="J39" s="443">
        <f t="shared" si="4"/>
        <v>0</v>
      </c>
      <c r="K39" s="443">
        <f t="shared" si="4"/>
        <v>0</v>
      </c>
      <c r="L39" s="443">
        <f t="shared" si="4"/>
        <v>0</v>
      </c>
      <c r="M39" s="443">
        <f t="shared" si="4"/>
        <v>0</v>
      </c>
      <c r="N39" s="443">
        <f t="shared" si="4"/>
        <v>0</v>
      </c>
      <c r="O39" s="443">
        <f t="shared" si="4"/>
        <v>0</v>
      </c>
      <c r="P39" s="445">
        <f t="shared" si="5"/>
        <v>0</v>
      </c>
      <c r="Q39" s="208">
        <f t="shared" si="6"/>
        <v>0</v>
      </c>
    </row>
    <row r="40" spans="1:17" ht="18" customHeight="1" thickBot="1">
      <c r="A40" s="497" t="str">
        <f>IF(ISBLANK('Sales Details'!A20)," ",('Sales Details'!A20))</f>
        <v xml:space="preserve"> </v>
      </c>
      <c r="B40" s="495"/>
      <c r="C40" s="206">
        <f>'Sales Details'!C20</f>
        <v>0</v>
      </c>
      <c r="D40" s="443">
        <f t="shared" si="4"/>
        <v>0</v>
      </c>
      <c r="E40" s="443">
        <f t="shared" si="4"/>
        <v>0</v>
      </c>
      <c r="F40" s="443">
        <f t="shared" si="4"/>
        <v>0</v>
      </c>
      <c r="G40" s="443">
        <f t="shared" si="4"/>
        <v>0</v>
      </c>
      <c r="H40" s="443">
        <f t="shared" si="4"/>
        <v>0</v>
      </c>
      <c r="I40" s="443">
        <f t="shared" si="4"/>
        <v>0</v>
      </c>
      <c r="J40" s="443">
        <f t="shared" si="4"/>
        <v>0</v>
      </c>
      <c r="K40" s="443">
        <f t="shared" si="4"/>
        <v>0</v>
      </c>
      <c r="L40" s="443">
        <f t="shared" si="4"/>
        <v>0</v>
      </c>
      <c r="M40" s="443">
        <f t="shared" si="4"/>
        <v>0</v>
      </c>
      <c r="N40" s="443">
        <f t="shared" si="4"/>
        <v>0</v>
      </c>
      <c r="O40" s="443">
        <f t="shared" si="4"/>
        <v>0</v>
      </c>
      <c r="P40" s="445">
        <f t="shared" si="5"/>
        <v>0</v>
      </c>
      <c r="Q40" s="209">
        <f t="shared" si="6"/>
        <v>0</v>
      </c>
    </row>
    <row r="41" spans="1:17" ht="25.15" customHeight="1" thickBot="1">
      <c r="A41" s="674" t="s">
        <v>237</v>
      </c>
      <c r="B41" s="674"/>
      <c r="C41" s="674"/>
      <c r="D41" s="445">
        <f t="shared" ref="D41:P41" si="7">ROUND(SUM(D26:D40),0)</f>
        <v>0</v>
      </c>
      <c r="E41" s="445">
        <f t="shared" si="7"/>
        <v>0</v>
      </c>
      <c r="F41" s="445">
        <f t="shared" si="7"/>
        <v>0</v>
      </c>
      <c r="G41" s="445">
        <f t="shared" si="7"/>
        <v>0</v>
      </c>
      <c r="H41" s="445">
        <f t="shared" si="7"/>
        <v>0</v>
      </c>
      <c r="I41" s="445">
        <f t="shared" si="7"/>
        <v>0</v>
      </c>
      <c r="J41" s="445">
        <f t="shared" si="7"/>
        <v>0</v>
      </c>
      <c r="K41" s="445">
        <f t="shared" si="7"/>
        <v>0</v>
      </c>
      <c r="L41" s="445">
        <f t="shared" si="7"/>
        <v>0</v>
      </c>
      <c r="M41" s="445">
        <f t="shared" si="7"/>
        <v>0</v>
      </c>
      <c r="N41" s="445">
        <f t="shared" si="7"/>
        <v>0</v>
      </c>
      <c r="O41" s="445">
        <f t="shared" si="7"/>
        <v>0</v>
      </c>
      <c r="P41" s="445">
        <f t="shared" si="7"/>
        <v>0</v>
      </c>
      <c r="Q41" s="202">
        <f>Q26+Q27+Q28+Q29+Q30+Q31+Q32+Q33+Q34+Q35+Q36+Q37+Q38+Q39+Q40</f>
        <v>0</v>
      </c>
    </row>
    <row r="42" spans="1:17" ht="15" customHeight="1" thickBot="1"/>
    <row r="43" spans="1:17" ht="22.9" customHeight="1" thickBot="1">
      <c r="A43" s="674" t="s">
        <v>238</v>
      </c>
      <c r="B43" s="674"/>
      <c r="C43" s="674"/>
      <c r="D43" s="445" t="e">
        <f>'Debtors analysis'!C22</f>
        <v>#VALUE!</v>
      </c>
      <c r="E43" s="445" t="e">
        <f>'Debtors analysis'!D22</f>
        <v>#VALUE!</v>
      </c>
      <c r="F43" s="445" t="e">
        <f>'Debtors analysis'!E22</f>
        <v>#VALUE!</v>
      </c>
      <c r="G43" s="445" t="e">
        <f>'Debtors analysis'!F22</f>
        <v>#VALUE!</v>
      </c>
      <c r="H43" s="445" t="e">
        <f>'Debtors analysis'!G22</f>
        <v>#VALUE!</v>
      </c>
      <c r="I43" s="445" t="e">
        <f>'Debtors analysis'!H22</f>
        <v>#VALUE!</v>
      </c>
      <c r="J43" s="445" t="e">
        <f>'Debtors analysis'!I22</f>
        <v>#VALUE!</v>
      </c>
      <c r="K43" s="445" t="e">
        <f>'Debtors analysis'!J22</f>
        <v>#VALUE!</v>
      </c>
      <c r="L43" s="445" t="e">
        <f>'Debtors analysis'!K22</f>
        <v>#VALUE!</v>
      </c>
      <c r="M43" s="445" t="e">
        <f>'Debtors analysis'!L22</f>
        <v>#VALUE!</v>
      </c>
      <c r="N43" s="445" t="e">
        <f>'Debtors analysis'!M22</f>
        <v>#VALUE!</v>
      </c>
      <c r="O43" s="445" t="e">
        <f>'Debtors analysis'!N22</f>
        <v>#VALUE!</v>
      </c>
      <c r="P43" s="445" t="e">
        <f>SUM(D43:O43)</f>
        <v>#VALUE!</v>
      </c>
    </row>
    <row r="44" spans="1:17" ht="15" customHeight="1"/>
    <row r="45" spans="1:17" ht="38.25" customHeight="1" thickBot="1">
      <c r="A45" s="675" t="s">
        <v>251</v>
      </c>
      <c r="B45" s="675"/>
      <c r="C45" s="675"/>
      <c r="D45" s="675"/>
      <c r="E45" s="675"/>
      <c r="F45" s="675"/>
      <c r="G45" s="675"/>
      <c r="H45" s="675"/>
      <c r="I45" s="675"/>
      <c r="J45" s="675"/>
      <c r="K45" s="675"/>
      <c r="L45" s="675"/>
      <c r="M45" s="675"/>
      <c r="N45" s="675"/>
      <c r="O45" s="675"/>
      <c r="P45" s="675"/>
    </row>
    <row r="46" spans="1:17" s="213" customFormat="1" ht="27" customHeight="1" thickBot="1">
      <c r="A46" s="210"/>
      <c r="B46" s="194" t="s">
        <v>240</v>
      </c>
      <c r="C46" s="211" t="s">
        <v>241</v>
      </c>
      <c r="D46" s="197" t="str">
        <f t="shared" ref="D46:O46" si="8">D6</f>
        <v>Jan</v>
      </c>
      <c r="E46" s="197" t="str">
        <f t="shared" si="8"/>
        <v>Feb</v>
      </c>
      <c r="F46" s="197" t="str">
        <f t="shared" si="8"/>
        <v>Mar</v>
      </c>
      <c r="G46" s="197" t="str">
        <f t="shared" si="8"/>
        <v>Apr</v>
      </c>
      <c r="H46" s="197" t="str">
        <f t="shared" si="8"/>
        <v>May</v>
      </c>
      <c r="I46" s="197" t="str">
        <f t="shared" si="8"/>
        <v>Jun</v>
      </c>
      <c r="J46" s="197" t="str">
        <f t="shared" si="8"/>
        <v>Jul</v>
      </c>
      <c r="K46" s="197" t="str">
        <f t="shared" si="8"/>
        <v>Aug</v>
      </c>
      <c r="L46" s="197" t="str">
        <f t="shared" si="8"/>
        <v>Sep</v>
      </c>
      <c r="M46" s="197" t="str">
        <f t="shared" si="8"/>
        <v>Oct</v>
      </c>
      <c r="N46" s="197" t="str">
        <f t="shared" si="8"/>
        <v>Nov</v>
      </c>
      <c r="O46" s="197" t="str">
        <f t="shared" si="8"/>
        <v>Dec</v>
      </c>
      <c r="P46" s="212" t="s">
        <v>60</v>
      </c>
    </row>
    <row r="47" spans="1:17" ht="18" customHeight="1" thickBot="1">
      <c r="A47" s="444" t="str">
        <f>IF(ISBLANK('Sales Details'!A6),"",('Sales Details'!A6))</f>
        <v>Test-category-1</v>
      </c>
      <c r="B47" s="214">
        <f>'Sales Details'!D6</f>
        <v>1000</v>
      </c>
      <c r="C47" s="215">
        <f>IF(ISBLANK('Sales Details'!A6),0,IF('Sales Details'!E6&gt;0.01,(100%-'Sales Details'!E6),0))</f>
        <v>9.9999999999999978E-2</v>
      </c>
      <c r="D47" s="443">
        <f>IF(ISBLANK(C47)," ",(C47*D26))</f>
        <v>0</v>
      </c>
      <c r="E47" s="443">
        <f>IF(ISBLANK(C47)," ",(C47*E26))</f>
        <v>0</v>
      </c>
      <c r="F47" s="443">
        <f>IF(ISBLANK(C47)," ",(C47*F26))</f>
        <v>0</v>
      </c>
      <c r="G47" s="443">
        <f>IF(ISBLANK(C47)," ",(C47*G26))</f>
        <v>0</v>
      </c>
      <c r="H47" s="443">
        <f>IF(ISBLANK(C47)," ",(C47*H26))</f>
        <v>0</v>
      </c>
      <c r="I47" s="443">
        <f>IF(ISBLANK(C47)," ",(C47*I26))</f>
        <v>0</v>
      </c>
      <c r="J47" s="443">
        <f>IF(ISBLANK(C47)," ",(C47*J26))</f>
        <v>0</v>
      </c>
      <c r="K47" s="443">
        <f>IF(ISBLANK(C47)," ",(C47*K26))</f>
        <v>0</v>
      </c>
      <c r="L47" s="443">
        <f>IF(ISBLANK(C47)," ",(C47*L26))</f>
        <v>0</v>
      </c>
      <c r="M47" s="443">
        <f>IF(ISBLANK(C47)," ",(C47*M26))</f>
        <v>0</v>
      </c>
      <c r="N47" s="443">
        <f>IF(ISBLANK(C47)," ",(C47*N26))</f>
        <v>0</v>
      </c>
      <c r="O47" s="443">
        <f>IF(ISBLANK(C47)," ",(C47*O26))</f>
        <v>0</v>
      </c>
      <c r="P47" s="445">
        <f t="shared" ref="P47:P61" si="9">SUM(D47:O47)</f>
        <v>0</v>
      </c>
    </row>
    <row r="48" spans="1:17" ht="18" customHeight="1" thickBot="1">
      <c r="A48" s="444" t="str">
        <f>IF(ISBLANK('Sales Details'!A7),"",('Sales Details'!A7))</f>
        <v>Test-category-2</v>
      </c>
      <c r="B48" s="216">
        <f>'Sales Details'!D7</f>
        <v>500</v>
      </c>
      <c r="C48" s="215">
        <f>IF(ISBLANK('Sales Details'!A7),0,IF('Sales Details'!E7&gt;0.01,(100%-'Sales Details'!E7),0))</f>
        <v>9.9999999999999978E-2</v>
      </c>
      <c r="D48" s="443">
        <f>IF(ISBLANK(C48)," ",(C48*D27))</f>
        <v>0</v>
      </c>
      <c r="E48" s="443">
        <f t="shared" ref="E48:E61" si="10">IF(ISBLANK(C48)," ",(C48*E27))</f>
        <v>0</v>
      </c>
      <c r="F48" s="443">
        <f t="shared" ref="F48:F61" si="11">IF(ISBLANK(C48)," ",(C48*F27))</f>
        <v>0</v>
      </c>
      <c r="G48" s="443">
        <f t="shared" ref="G48:G61" si="12">IF(ISBLANK(C48)," ",(C48*G27))</f>
        <v>0</v>
      </c>
      <c r="H48" s="443">
        <f t="shared" ref="H48:H61" si="13">IF(ISBLANK(C48)," ",(C48*H27))</f>
        <v>0</v>
      </c>
      <c r="I48" s="443">
        <f t="shared" ref="I48:I61" si="14">IF(ISBLANK(C48)," ",(C48*I27))</f>
        <v>0</v>
      </c>
      <c r="J48" s="443">
        <f t="shared" ref="J48:J61" si="15">IF(ISBLANK(C48)," ",(C48*J27))</f>
        <v>0</v>
      </c>
      <c r="K48" s="443">
        <f t="shared" ref="K48:K61" si="16">IF(ISBLANK(C48)," ",(C48*K27))</f>
        <v>0</v>
      </c>
      <c r="L48" s="443">
        <f t="shared" ref="L48:L61" si="17">IF(ISBLANK(C48)," ",(C48*L27))</f>
        <v>0</v>
      </c>
      <c r="M48" s="443">
        <f t="shared" ref="M48:M61" si="18">IF(ISBLANK(C48)," ",(C48*M27))</f>
        <v>0</v>
      </c>
      <c r="N48" s="443">
        <f t="shared" ref="N48:N61" si="19">IF(ISBLANK(C48)," ",(C48*N27))</f>
        <v>0</v>
      </c>
      <c r="O48" s="443">
        <f t="shared" ref="O48:O61" si="20">IF(ISBLANK(C48)," ",(C48*O27))</f>
        <v>0</v>
      </c>
      <c r="P48" s="445">
        <f t="shared" si="9"/>
        <v>0</v>
      </c>
    </row>
    <row r="49" spans="1:19" ht="18" customHeight="1" thickBot="1">
      <c r="A49" s="444" t="str">
        <f>IF(ISBLANK('Sales Details'!A8),"",('Sales Details'!A8))</f>
        <v>Test-category-3</v>
      </c>
      <c r="B49" s="216">
        <f>'Sales Details'!D8</f>
        <v>400</v>
      </c>
      <c r="C49" s="215">
        <f>IF(ISBLANK('Sales Details'!A8),0,IF('Sales Details'!E8&gt;0.01,(100%-'Sales Details'!E8),0))</f>
        <v>9.9999999999999978E-2</v>
      </c>
      <c r="D49" s="443">
        <f t="shared" ref="D49:D61" si="21">IF(ISBLANK(C49)," ",(C49*D28))</f>
        <v>0</v>
      </c>
      <c r="E49" s="443">
        <f t="shared" si="10"/>
        <v>0</v>
      </c>
      <c r="F49" s="443">
        <f t="shared" si="11"/>
        <v>0</v>
      </c>
      <c r="G49" s="443">
        <f t="shared" si="12"/>
        <v>0</v>
      </c>
      <c r="H49" s="443">
        <f t="shared" si="13"/>
        <v>0</v>
      </c>
      <c r="I49" s="443">
        <f t="shared" si="14"/>
        <v>0</v>
      </c>
      <c r="J49" s="443">
        <f t="shared" si="15"/>
        <v>0</v>
      </c>
      <c r="K49" s="443">
        <f t="shared" si="16"/>
        <v>0</v>
      </c>
      <c r="L49" s="443">
        <f t="shared" si="17"/>
        <v>0</v>
      </c>
      <c r="M49" s="443">
        <f t="shared" si="18"/>
        <v>0</v>
      </c>
      <c r="N49" s="443">
        <f t="shared" si="19"/>
        <v>0</v>
      </c>
      <c r="O49" s="443">
        <f t="shared" si="20"/>
        <v>0</v>
      </c>
      <c r="P49" s="445">
        <f t="shared" si="9"/>
        <v>0</v>
      </c>
      <c r="S49" s="217"/>
    </row>
    <row r="50" spans="1:19" ht="18" customHeight="1" thickBot="1">
      <c r="A50" s="444" t="str">
        <f>IF(ISBLANK('Sales Details'!A9),"",('Sales Details'!A9))</f>
        <v/>
      </c>
      <c r="B50" s="216">
        <f>'Sales Details'!D9</f>
        <v>0</v>
      </c>
      <c r="C50" s="215">
        <f>IF(ISBLANK('Sales Details'!A9),0,IF('Sales Details'!E9&gt;0.01,(100%-'Sales Details'!E9),0))</f>
        <v>0</v>
      </c>
      <c r="D50" s="443">
        <f t="shared" si="21"/>
        <v>0</v>
      </c>
      <c r="E50" s="443">
        <f t="shared" si="10"/>
        <v>0</v>
      </c>
      <c r="F50" s="443">
        <f t="shared" si="11"/>
        <v>0</v>
      </c>
      <c r="G50" s="443">
        <f t="shared" si="12"/>
        <v>0</v>
      </c>
      <c r="H50" s="443">
        <f t="shared" si="13"/>
        <v>0</v>
      </c>
      <c r="I50" s="443">
        <f t="shared" si="14"/>
        <v>0</v>
      </c>
      <c r="J50" s="443">
        <f t="shared" si="15"/>
        <v>0</v>
      </c>
      <c r="K50" s="443">
        <f t="shared" si="16"/>
        <v>0</v>
      </c>
      <c r="L50" s="443">
        <f t="shared" si="17"/>
        <v>0</v>
      </c>
      <c r="M50" s="443">
        <f t="shared" si="18"/>
        <v>0</v>
      </c>
      <c r="N50" s="443">
        <f t="shared" si="19"/>
        <v>0</v>
      </c>
      <c r="O50" s="443">
        <f t="shared" si="20"/>
        <v>0</v>
      </c>
      <c r="P50" s="445">
        <f t="shared" si="9"/>
        <v>0</v>
      </c>
    </row>
    <row r="51" spans="1:19" ht="18" customHeight="1" thickBot="1">
      <c r="A51" s="444" t="str">
        <f>IF(ISBLANK('Sales Details'!A10),"",('Sales Details'!A10))</f>
        <v/>
      </c>
      <c r="B51" s="216">
        <f>'Sales Details'!D10</f>
        <v>0</v>
      </c>
      <c r="C51" s="215">
        <f>IF(ISBLANK('Sales Details'!A10),0,IF('Sales Details'!E10&gt;0.01,(100%-'Sales Details'!E10),0))</f>
        <v>0</v>
      </c>
      <c r="D51" s="443">
        <f t="shared" si="21"/>
        <v>0</v>
      </c>
      <c r="E51" s="443">
        <f t="shared" si="10"/>
        <v>0</v>
      </c>
      <c r="F51" s="443">
        <f t="shared" si="11"/>
        <v>0</v>
      </c>
      <c r="G51" s="443">
        <f t="shared" si="12"/>
        <v>0</v>
      </c>
      <c r="H51" s="443">
        <f t="shared" si="13"/>
        <v>0</v>
      </c>
      <c r="I51" s="443">
        <f t="shared" si="14"/>
        <v>0</v>
      </c>
      <c r="J51" s="443">
        <f t="shared" si="15"/>
        <v>0</v>
      </c>
      <c r="K51" s="443">
        <f t="shared" si="16"/>
        <v>0</v>
      </c>
      <c r="L51" s="443">
        <f t="shared" si="17"/>
        <v>0</v>
      </c>
      <c r="M51" s="443">
        <f t="shared" si="18"/>
        <v>0</v>
      </c>
      <c r="N51" s="443">
        <f t="shared" si="19"/>
        <v>0</v>
      </c>
      <c r="O51" s="443">
        <f t="shared" si="20"/>
        <v>0</v>
      </c>
      <c r="P51" s="445">
        <f t="shared" si="9"/>
        <v>0</v>
      </c>
    </row>
    <row r="52" spans="1:19" ht="18" customHeight="1" thickBot="1">
      <c r="A52" s="444" t="str">
        <f>IF(ISBLANK('Sales Details'!A11),"",('Sales Details'!A11))</f>
        <v/>
      </c>
      <c r="B52" s="216">
        <f>'Sales Details'!D11</f>
        <v>0</v>
      </c>
      <c r="C52" s="215">
        <f>IF(ISBLANK('Sales Details'!A11),0,IF('Sales Details'!E11&gt;0.01,(100%-'Sales Details'!E11),0))</f>
        <v>0</v>
      </c>
      <c r="D52" s="443">
        <f t="shared" si="21"/>
        <v>0</v>
      </c>
      <c r="E52" s="443">
        <f t="shared" si="10"/>
        <v>0</v>
      </c>
      <c r="F52" s="443">
        <f t="shared" si="11"/>
        <v>0</v>
      </c>
      <c r="G52" s="443">
        <f t="shared" si="12"/>
        <v>0</v>
      </c>
      <c r="H52" s="443">
        <f t="shared" si="13"/>
        <v>0</v>
      </c>
      <c r="I52" s="443">
        <f t="shared" si="14"/>
        <v>0</v>
      </c>
      <c r="J52" s="443">
        <f t="shared" si="15"/>
        <v>0</v>
      </c>
      <c r="K52" s="443">
        <f t="shared" si="16"/>
        <v>0</v>
      </c>
      <c r="L52" s="443">
        <f t="shared" si="17"/>
        <v>0</v>
      </c>
      <c r="M52" s="443">
        <f t="shared" si="18"/>
        <v>0</v>
      </c>
      <c r="N52" s="443">
        <f t="shared" si="19"/>
        <v>0</v>
      </c>
      <c r="O52" s="443">
        <f t="shared" si="20"/>
        <v>0</v>
      </c>
      <c r="P52" s="445">
        <f t="shared" si="9"/>
        <v>0</v>
      </c>
    </row>
    <row r="53" spans="1:19" ht="18" customHeight="1" thickBot="1">
      <c r="A53" s="444" t="str">
        <f>IF(ISBLANK('Sales Details'!A12),"",('Sales Details'!A12))</f>
        <v/>
      </c>
      <c r="B53" s="216">
        <f>'Sales Details'!D12</f>
        <v>0</v>
      </c>
      <c r="C53" s="215">
        <f>IF(ISBLANK('Sales Details'!A12),0,IF('Sales Details'!E12&gt;0.01,(100%-'Sales Details'!E12),0))</f>
        <v>0</v>
      </c>
      <c r="D53" s="443">
        <f t="shared" si="21"/>
        <v>0</v>
      </c>
      <c r="E53" s="443">
        <v>5</v>
      </c>
      <c r="F53" s="443">
        <f t="shared" si="11"/>
        <v>0</v>
      </c>
      <c r="G53" s="443">
        <f t="shared" si="12"/>
        <v>0</v>
      </c>
      <c r="H53" s="443">
        <f t="shared" si="13"/>
        <v>0</v>
      </c>
      <c r="I53" s="443">
        <f t="shared" si="14"/>
        <v>0</v>
      </c>
      <c r="J53" s="443">
        <f t="shared" si="15"/>
        <v>0</v>
      </c>
      <c r="K53" s="443">
        <f t="shared" si="16"/>
        <v>0</v>
      </c>
      <c r="L53" s="443">
        <f t="shared" si="17"/>
        <v>0</v>
      </c>
      <c r="M53" s="443">
        <f t="shared" si="18"/>
        <v>0</v>
      </c>
      <c r="N53" s="443">
        <f t="shared" si="19"/>
        <v>0</v>
      </c>
      <c r="O53" s="443">
        <f t="shared" si="20"/>
        <v>0</v>
      </c>
      <c r="P53" s="445">
        <f t="shared" si="9"/>
        <v>5</v>
      </c>
      <c r="S53" s="218"/>
    </row>
    <row r="54" spans="1:19" ht="18" customHeight="1" thickBot="1">
      <c r="A54" s="444" t="str">
        <f>IF(ISBLANK('Sales Details'!A13),"",('Sales Details'!A13))</f>
        <v/>
      </c>
      <c r="B54" s="216">
        <f>'Sales Details'!D13</f>
        <v>0</v>
      </c>
      <c r="C54" s="215">
        <f>IF(ISBLANK('Sales Details'!A13),0,IF('Sales Details'!E13&gt;0.01,(100%-'Sales Details'!E13),0))</f>
        <v>0</v>
      </c>
      <c r="D54" s="443">
        <f t="shared" si="21"/>
        <v>0</v>
      </c>
      <c r="E54" s="443">
        <f t="shared" si="10"/>
        <v>0</v>
      </c>
      <c r="F54" s="443">
        <f t="shared" si="11"/>
        <v>0</v>
      </c>
      <c r="G54" s="443">
        <f t="shared" si="12"/>
        <v>0</v>
      </c>
      <c r="H54" s="443">
        <f t="shared" si="13"/>
        <v>0</v>
      </c>
      <c r="I54" s="443">
        <f t="shared" si="14"/>
        <v>0</v>
      </c>
      <c r="J54" s="443">
        <f t="shared" si="15"/>
        <v>0</v>
      </c>
      <c r="K54" s="443">
        <f t="shared" si="16"/>
        <v>0</v>
      </c>
      <c r="L54" s="443">
        <f t="shared" si="17"/>
        <v>0</v>
      </c>
      <c r="M54" s="443">
        <f t="shared" si="18"/>
        <v>0</v>
      </c>
      <c r="N54" s="443">
        <f t="shared" si="19"/>
        <v>0</v>
      </c>
      <c r="O54" s="443">
        <f t="shared" si="20"/>
        <v>0</v>
      </c>
      <c r="P54" s="445">
        <f t="shared" si="9"/>
        <v>0</v>
      </c>
    </row>
    <row r="55" spans="1:19" ht="18" customHeight="1" thickBot="1">
      <c r="A55" s="444" t="str">
        <f>IF(ISBLANK('Sales Details'!A14),"",('Sales Details'!A14))</f>
        <v/>
      </c>
      <c r="B55" s="216">
        <f>'Sales Details'!D14</f>
        <v>0</v>
      </c>
      <c r="C55" s="215">
        <f>IF(ISBLANK('Sales Details'!A14),0,IF('Sales Details'!E14&gt;0.01,(100%-'Sales Details'!E14),0))</f>
        <v>0</v>
      </c>
      <c r="D55" s="443">
        <f t="shared" si="21"/>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3">
        <f t="shared" si="20"/>
        <v>0</v>
      </c>
      <c r="P55" s="445">
        <f t="shared" si="9"/>
        <v>0</v>
      </c>
    </row>
    <row r="56" spans="1:19" ht="18" customHeight="1" thickBot="1">
      <c r="A56" s="444" t="str">
        <f>IF(ISBLANK('Sales Details'!A15),"",('Sales Details'!A15))</f>
        <v/>
      </c>
      <c r="B56" s="216">
        <f>'Sales Details'!D15</f>
        <v>0</v>
      </c>
      <c r="C56" s="215">
        <f>IF(ISBLANK('Sales Details'!A15),0,IF('Sales Details'!E15&gt;0.01,(100%-'Sales Details'!E15),0))</f>
        <v>0</v>
      </c>
      <c r="D56" s="443">
        <f t="shared" si="21"/>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3">
        <f t="shared" si="20"/>
        <v>0</v>
      </c>
      <c r="P56" s="445">
        <f t="shared" si="9"/>
        <v>0</v>
      </c>
    </row>
    <row r="57" spans="1:19" ht="18" customHeight="1" thickBot="1">
      <c r="A57" s="444" t="str">
        <f>IF(ISBLANK('Sales Details'!A16),"",('Sales Details'!A16))</f>
        <v/>
      </c>
      <c r="B57" s="216">
        <f>'Sales Details'!D16</f>
        <v>0</v>
      </c>
      <c r="C57" s="215">
        <f>IF(ISBLANK('Sales Details'!A16),0,IF('Sales Details'!E16&gt;0.01,(100%-'Sales Details'!E16),0))</f>
        <v>0</v>
      </c>
      <c r="D57" s="443">
        <f t="shared" si="21"/>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3">
        <f t="shared" si="20"/>
        <v>0</v>
      </c>
      <c r="P57" s="445">
        <f t="shared" si="9"/>
        <v>0</v>
      </c>
    </row>
    <row r="58" spans="1:19" ht="18" customHeight="1" thickBot="1">
      <c r="A58" s="444" t="str">
        <f>IF(ISBLANK('Sales Details'!A17),"",('Sales Details'!A17))</f>
        <v/>
      </c>
      <c r="B58" s="216">
        <f>'Sales Details'!D17</f>
        <v>0</v>
      </c>
      <c r="C58" s="215">
        <f>IF(ISBLANK('Sales Details'!A17),0,IF('Sales Details'!E17&gt;0.01,(100%-'Sales Details'!E17),0))</f>
        <v>0</v>
      </c>
      <c r="D58" s="443">
        <f t="shared" si="21"/>
        <v>0</v>
      </c>
      <c r="E58" s="443">
        <v>5</v>
      </c>
      <c r="F58" s="443">
        <f t="shared" si="11"/>
        <v>0</v>
      </c>
      <c r="G58" s="443">
        <f t="shared" si="12"/>
        <v>0</v>
      </c>
      <c r="H58" s="443">
        <f t="shared" si="13"/>
        <v>0</v>
      </c>
      <c r="I58" s="443">
        <f t="shared" si="14"/>
        <v>0</v>
      </c>
      <c r="J58" s="443">
        <f t="shared" si="15"/>
        <v>0</v>
      </c>
      <c r="K58" s="443">
        <f t="shared" si="16"/>
        <v>0</v>
      </c>
      <c r="L58" s="443">
        <f t="shared" si="17"/>
        <v>0</v>
      </c>
      <c r="M58" s="443">
        <f t="shared" si="18"/>
        <v>0</v>
      </c>
      <c r="N58" s="443">
        <f t="shared" si="19"/>
        <v>0</v>
      </c>
      <c r="O58" s="443">
        <f t="shared" si="20"/>
        <v>0</v>
      </c>
      <c r="P58" s="445">
        <f t="shared" si="9"/>
        <v>5</v>
      </c>
    </row>
    <row r="59" spans="1:19" ht="18" customHeight="1" thickBot="1">
      <c r="A59" s="444" t="str">
        <f>IF(ISBLANK('Sales Details'!A18),"",('Sales Details'!A18))</f>
        <v/>
      </c>
      <c r="B59" s="216">
        <f>'Sales Details'!D18</f>
        <v>0</v>
      </c>
      <c r="C59" s="215">
        <f>IF(ISBLANK('Sales Details'!A18),0,IF('Sales Details'!E18&gt;0.01,(100%-'Sales Details'!E18),0))</f>
        <v>0</v>
      </c>
      <c r="D59" s="443">
        <f t="shared" si="21"/>
        <v>0</v>
      </c>
      <c r="E59" s="443">
        <f t="shared" si="10"/>
        <v>0</v>
      </c>
      <c r="F59" s="443">
        <f t="shared" si="11"/>
        <v>0</v>
      </c>
      <c r="G59" s="443">
        <f t="shared" si="12"/>
        <v>0</v>
      </c>
      <c r="H59" s="443">
        <f t="shared" si="13"/>
        <v>0</v>
      </c>
      <c r="I59" s="443">
        <f t="shared" si="14"/>
        <v>0</v>
      </c>
      <c r="J59" s="443">
        <f t="shared" si="15"/>
        <v>0</v>
      </c>
      <c r="K59" s="443">
        <f t="shared" si="16"/>
        <v>0</v>
      </c>
      <c r="L59" s="443">
        <f t="shared" si="17"/>
        <v>0</v>
      </c>
      <c r="M59" s="443">
        <f t="shared" si="18"/>
        <v>0</v>
      </c>
      <c r="N59" s="443">
        <f t="shared" si="19"/>
        <v>0</v>
      </c>
      <c r="O59" s="443">
        <f t="shared" si="20"/>
        <v>0</v>
      </c>
      <c r="P59" s="445">
        <f t="shared" si="9"/>
        <v>0</v>
      </c>
    </row>
    <row r="60" spans="1:19" ht="18" customHeight="1" thickBot="1">
      <c r="A60" s="444" t="str">
        <f>IF(ISBLANK('Sales Details'!A19),"",('Sales Details'!A19))</f>
        <v/>
      </c>
      <c r="B60" s="216">
        <f>'Sales Details'!D19</f>
        <v>0</v>
      </c>
      <c r="C60" s="215">
        <f>IF(ISBLANK('Sales Details'!A19),0,IF('Sales Details'!E19&gt;0.01,(100%-'Sales Details'!E19),0))</f>
        <v>0</v>
      </c>
      <c r="D60" s="443">
        <f t="shared" si="21"/>
        <v>0</v>
      </c>
      <c r="E60" s="443">
        <f t="shared" si="10"/>
        <v>0</v>
      </c>
      <c r="F60" s="443">
        <f t="shared" si="11"/>
        <v>0</v>
      </c>
      <c r="G60" s="443">
        <f t="shared" si="12"/>
        <v>0</v>
      </c>
      <c r="H60" s="443">
        <f t="shared" si="13"/>
        <v>0</v>
      </c>
      <c r="I60" s="443">
        <f t="shared" si="14"/>
        <v>0</v>
      </c>
      <c r="J60" s="443">
        <f t="shared" si="15"/>
        <v>0</v>
      </c>
      <c r="K60" s="443">
        <f t="shared" si="16"/>
        <v>0</v>
      </c>
      <c r="L60" s="443">
        <f t="shared" si="17"/>
        <v>0</v>
      </c>
      <c r="M60" s="443">
        <f t="shared" si="18"/>
        <v>0</v>
      </c>
      <c r="N60" s="443">
        <f t="shared" si="19"/>
        <v>0</v>
      </c>
      <c r="O60" s="443">
        <f t="shared" si="20"/>
        <v>0</v>
      </c>
      <c r="P60" s="445">
        <f t="shared" si="9"/>
        <v>0</v>
      </c>
    </row>
    <row r="61" spans="1:19" ht="18" customHeight="1" thickBot="1">
      <c r="A61" s="444" t="str">
        <f>IF(ISBLANK('Sales Details'!A20),"",('Sales Details'!A20))</f>
        <v/>
      </c>
      <c r="B61" s="219">
        <f>'Sales Details'!D20</f>
        <v>0</v>
      </c>
      <c r="C61" s="215">
        <f>IF(ISBLANK('Sales Details'!A20),0,IF('Sales Details'!E20&gt;0.01,(100%-'Sales Details'!E20),0))</f>
        <v>0</v>
      </c>
      <c r="D61" s="443">
        <f t="shared" si="21"/>
        <v>0</v>
      </c>
      <c r="E61" s="443">
        <f t="shared" si="10"/>
        <v>0</v>
      </c>
      <c r="F61" s="443">
        <f t="shared" si="11"/>
        <v>0</v>
      </c>
      <c r="G61" s="443">
        <f t="shared" si="12"/>
        <v>0</v>
      </c>
      <c r="H61" s="443">
        <f t="shared" si="13"/>
        <v>0</v>
      </c>
      <c r="I61" s="443">
        <f t="shared" si="14"/>
        <v>0</v>
      </c>
      <c r="J61" s="443">
        <f t="shared" si="15"/>
        <v>0</v>
      </c>
      <c r="K61" s="443">
        <f t="shared" si="16"/>
        <v>0</v>
      </c>
      <c r="L61" s="443">
        <f t="shared" si="17"/>
        <v>0</v>
      </c>
      <c r="M61" s="443">
        <f t="shared" si="18"/>
        <v>0</v>
      </c>
      <c r="N61" s="443">
        <f t="shared" si="19"/>
        <v>0</v>
      </c>
      <c r="O61" s="443">
        <f t="shared" si="20"/>
        <v>0</v>
      </c>
      <c r="P61" s="445">
        <f t="shared" si="9"/>
        <v>0</v>
      </c>
    </row>
    <row r="62" spans="1:19" ht="34.5" customHeight="1" thickBot="1">
      <c r="A62" s="676" t="s">
        <v>242</v>
      </c>
      <c r="B62" s="676"/>
      <c r="C62" s="676"/>
      <c r="D62" s="445">
        <f t="shared" ref="D62:P62" si="22">SUM(D47:D61)</f>
        <v>0</v>
      </c>
      <c r="E62" s="445">
        <f t="shared" si="22"/>
        <v>10</v>
      </c>
      <c r="F62" s="445">
        <f t="shared" si="22"/>
        <v>0</v>
      </c>
      <c r="G62" s="445">
        <f t="shared" si="22"/>
        <v>0</v>
      </c>
      <c r="H62" s="445">
        <f t="shared" si="22"/>
        <v>0</v>
      </c>
      <c r="I62" s="445">
        <f t="shared" si="22"/>
        <v>0</v>
      </c>
      <c r="J62" s="445">
        <f t="shared" si="22"/>
        <v>0</v>
      </c>
      <c r="K62" s="445">
        <f t="shared" si="22"/>
        <v>0</v>
      </c>
      <c r="L62" s="445">
        <f t="shared" si="22"/>
        <v>0</v>
      </c>
      <c r="M62" s="445">
        <f t="shared" si="22"/>
        <v>0</v>
      </c>
      <c r="N62" s="445">
        <f t="shared" si="22"/>
        <v>0</v>
      </c>
      <c r="O62" s="445">
        <f t="shared" si="22"/>
        <v>0</v>
      </c>
      <c r="P62" s="445">
        <f t="shared" si="22"/>
        <v>10</v>
      </c>
    </row>
    <row r="63" spans="1:19" ht="15" customHeight="1">
      <c r="A63" s="220"/>
      <c r="B63" s="220"/>
      <c r="C63" s="220"/>
      <c r="D63" s="221"/>
      <c r="E63" s="221"/>
      <c r="F63" s="221"/>
      <c r="G63" s="221"/>
      <c r="H63" s="221"/>
      <c r="I63" s="221"/>
      <c r="J63" s="221"/>
      <c r="K63" s="221"/>
      <c r="L63" s="221"/>
      <c r="M63" s="221"/>
      <c r="N63" s="221"/>
      <c r="O63" s="221"/>
      <c r="P63" s="221"/>
    </row>
    <row r="64" spans="1:19" ht="40.5" customHeight="1">
      <c r="A64" s="675" t="s">
        <v>243</v>
      </c>
      <c r="B64" s="675"/>
      <c r="C64" s="675"/>
      <c r="D64" s="675"/>
      <c r="E64" s="675"/>
      <c r="F64" s="675"/>
      <c r="G64" s="675"/>
      <c r="H64" s="675"/>
      <c r="I64" s="675"/>
      <c r="J64" s="675"/>
      <c r="K64" s="675"/>
      <c r="L64" s="675"/>
      <c r="M64" s="675"/>
      <c r="N64" s="675"/>
      <c r="O64" s="675"/>
      <c r="P64" s="675"/>
    </row>
    <row r="65" spans="1:16" ht="36" customHeight="1" thickBot="1">
      <c r="A65" s="667" t="s">
        <v>244</v>
      </c>
      <c r="B65" s="667"/>
      <c r="C65" s="673" t="s">
        <v>245</v>
      </c>
      <c r="D65" s="673"/>
      <c r="E65" s="673"/>
      <c r="F65" s="673"/>
      <c r="G65" s="673"/>
      <c r="H65" s="673"/>
      <c r="I65" s="673"/>
      <c r="J65" s="673"/>
      <c r="K65" s="673"/>
      <c r="L65" s="673"/>
      <c r="M65" s="673"/>
      <c r="N65" s="673"/>
      <c r="O65" s="673"/>
      <c r="P65" s="673"/>
    </row>
    <row r="66" spans="1:16" ht="18" customHeight="1" thickBot="1">
      <c r="A66" s="670" t="s">
        <v>246</v>
      </c>
      <c r="B66" s="670"/>
      <c r="C66" s="223"/>
      <c r="D66" s="443">
        <f t="shared" ref="D66:O66" si="23">D62</f>
        <v>0</v>
      </c>
      <c r="E66" s="443">
        <f t="shared" si="23"/>
        <v>10</v>
      </c>
      <c r="F66" s="443">
        <f t="shared" si="23"/>
        <v>0</v>
      </c>
      <c r="G66" s="443">
        <f t="shared" si="23"/>
        <v>0</v>
      </c>
      <c r="H66" s="443">
        <f t="shared" si="23"/>
        <v>0</v>
      </c>
      <c r="I66" s="443">
        <f t="shared" si="23"/>
        <v>0</v>
      </c>
      <c r="J66" s="443">
        <f t="shared" si="23"/>
        <v>0</v>
      </c>
      <c r="K66" s="443">
        <f t="shared" si="23"/>
        <v>0</v>
      </c>
      <c r="L66" s="443">
        <f t="shared" si="23"/>
        <v>0</v>
      </c>
      <c r="M66" s="443">
        <f t="shared" si="23"/>
        <v>0</v>
      </c>
      <c r="N66" s="443">
        <f t="shared" si="23"/>
        <v>0</v>
      </c>
      <c r="O66" s="443">
        <f t="shared" si="23"/>
        <v>0</v>
      </c>
      <c r="P66" s="445">
        <f t="shared" ref="P66:P74" si="24">SUM(D66:O66)</f>
        <v>10</v>
      </c>
    </row>
    <row r="67" spans="1:16" ht="18" customHeight="1" thickBot="1">
      <c r="A67" s="583"/>
      <c r="B67" s="583"/>
      <c r="C67" s="223"/>
      <c r="D67" s="443"/>
      <c r="E67" s="443"/>
      <c r="F67" s="443"/>
      <c r="G67" s="443"/>
      <c r="H67" s="443"/>
      <c r="I67" s="443"/>
      <c r="J67" s="443"/>
      <c r="K67" s="443"/>
      <c r="L67" s="443"/>
      <c r="M67" s="443"/>
      <c r="N67" s="443"/>
      <c r="O67" s="443"/>
      <c r="P67" s="445">
        <f t="shared" si="24"/>
        <v>0</v>
      </c>
    </row>
    <row r="68" spans="1:16" ht="18" customHeight="1" thickBot="1">
      <c r="A68" s="583"/>
      <c r="B68" s="583"/>
      <c r="C68" s="223"/>
      <c r="D68" s="443"/>
      <c r="E68" s="443"/>
      <c r="F68" s="443"/>
      <c r="G68" s="443"/>
      <c r="H68" s="443"/>
      <c r="I68" s="443"/>
      <c r="J68" s="443"/>
      <c r="K68" s="443"/>
      <c r="L68" s="443"/>
      <c r="M68" s="443"/>
      <c r="N68" s="443"/>
      <c r="O68" s="443"/>
      <c r="P68" s="445">
        <f t="shared" si="24"/>
        <v>0</v>
      </c>
    </row>
    <row r="69" spans="1:16" ht="18" customHeight="1" thickBot="1">
      <c r="A69" s="583"/>
      <c r="B69" s="583"/>
      <c r="C69" s="223"/>
      <c r="D69" s="443"/>
      <c r="E69" s="443"/>
      <c r="F69" s="443"/>
      <c r="G69" s="443"/>
      <c r="H69" s="443"/>
      <c r="I69" s="443"/>
      <c r="J69" s="443"/>
      <c r="K69" s="443"/>
      <c r="L69" s="443"/>
      <c r="M69" s="443"/>
      <c r="N69" s="443"/>
      <c r="O69" s="443"/>
      <c r="P69" s="445">
        <f t="shared" si="24"/>
        <v>0</v>
      </c>
    </row>
    <row r="70" spans="1:16" ht="18" customHeight="1" thickBot="1">
      <c r="A70" s="583"/>
      <c r="B70" s="583"/>
      <c r="C70" s="223"/>
      <c r="D70" s="443"/>
      <c r="E70" s="443"/>
      <c r="F70" s="443"/>
      <c r="G70" s="443"/>
      <c r="H70" s="443"/>
      <c r="I70" s="443"/>
      <c r="J70" s="443"/>
      <c r="K70" s="443"/>
      <c r="L70" s="443"/>
      <c r="M70" s="443"/>
      <c r="N70" s="443"/>
      <c r="O70" s="443"/>
      <c r="P70" s="445">
        <f t="shared" si="24"/>
        <v>0</v>
      </c>
    </row>
    <row r="71" spans="1:16" ht="18" customHeight="1" thickBot="1">
      <c r="A71" s="583"/>
      <c r="B71" s="583"/>
      <c r="C71" s="223"/>
      <c r="D71" s="443"/>
      <c r="E71" s="443"/>
      <c r="F71" s="443"/>
      <c r="G71" s="443"/>
      <c r="H71" s="443"/>
      <c r="I71" s="443"/>
      <c r="J71" s="443"/>
      <c r="K71" s="443"/>
      <c r="L71" s="443"/>
      <c r="M71" s="443"/>
      <c r="N71" s="443"/>
      <c r="O71" s="443"/>
      <c r="P71" s="445">
        <f t="shared" si="24"/>
        <v>0</v>
      </c>
    </row>
    <row r="72" spans="1:16" ht="18" customHeight="1" thickBot="1">
      <c r="A72" s="583"/>
      <c r="B72" s="583"/>
      <c r="C72" s="223"/>
      <c r="D72" s="443"/>
      <c r="E72" s="443"/>
      <c r="F72" s="443"/>
      <c r="G72" s="443"/>
      <c r="H72" s="443"/>
      <c r="I72" s="443"/>
      <c r="J72" s="443"/>
      <c r="K72" s="443"/>
      <c r="L72" s="443"/>
      <c r="M72" s="443"/>
      <c r="N72" s="443"/>
      <c r="O72" s="443"/>
      <c r="P72" s="445">
        <f t="shared" si="24"/>
        <v>0</v>
      </c>
    </row>
    <row r="73" spans="1:16" ht="18" customHeight="1" thickBot="1">
      <c r="A73" s="583"/>
      <c r="B73" s="583"/>
      <c r="C73" s="223"/>
      <c r="D73" s="443"/>
      <c r="E73" s="443"/>
      <c r="F73" s="443"/>
      <c r="G73" s="443"/>
      <c r="H73" s="443"/>
      <c r="I73" s="443"/>
      <c r="J73" s="443"/>
      <c r="K73" s="443"/>
      <c r="L73" s="443"/>
      <c r="M73" s="443"/>
      <c r="N73" s="443"/>
      <c r="O73" s="443"/>
      <c r="P73" s="445">
        <f t="shared" si="24"/>
        <v>0</v>
      </c>
    </row>
    <row r="74" spans="1:16" ht="18" customHeight="1" thickBot="1">
      <c r="A74" s="583"/>
      <c r="B74" s="583"/>
      <c r="C74" s="223"/>
      <c r="D74" s="443"/>
      <c r="E74" s="443"/>
      <c r="F74" s="443"/>
      <c r="G74" s="443"/>
      <c r="H74" s="443"/>
      <c r="I74" s="443"/>
      <c r="J74" s="443"/>
      <c r="K74" s="443"/>
      <c r="L74" s="443"/>
      <c r="M74" s="443"/>
      <c r="N74" s="443"/>
      <c r="O74" s="443"/>
      <c r="P74" s="445">
        <f t="shared" si="24"/>
        <v>0</v>
      </c>
    </row>
    <row r="75" spans="1:16" ht="25.15" customHeight="1" thickBot="1">
      <c r="A75" s="671" t="s">
        <v>252</v>
      </c>
      <c r="B75" s="671"/>
      <c r="C75" s="671"/>
      <c r="D75" s="445">
        <f>SUM(D66:D74)</f>
        <v>0</v>
      </c>
      <c r="E75" s="445">
        <f t="shared" ref="E75:P75" si="25">SUM(E66:E74)</f>
        <v>10</v>
      </c>
      <c r="F75" s="445">
        <f t="shared" si="25"/>
        <v>0</v>
      </c>
      <c r="G75" s="445">
        <f t="shared" si="25"/>
        <v>0</v>
      </c>
      <c r="H75" s="445">
        <f t="shared" si="25"/>
        <v>0</v>
      </c>
      <c r="I75" s="445">
        <f t="shared" si="25"/>
        <v>0</v>
      </c>
      <c r="J75" s="445">
        <f t="shared" si="25"/>
        <v>0</v>
      </c>
      <c r="K75" s="445">
        <f t="shared" si="25"/>
        <v>0</v>
      </c>
      <c r="L75" s="445">
        <f t="shared" si="25"/>
        <v>0</v>
      </c>
      <c r="M75" s="445">
        <f t="shared" si="25"/>
        <v>0</v>
      </c>
      <c r="N75" s="445">
        <f t="shared" si="25"/>
        <v>0</v>
      </c>
      <c r="O75" s="445">
        <f t="shared" si="25"/>
        <v>0</v>
      </c>
      <c r="P75" s="445">
        <f t="shared" si="25"/>
        <v>10</v>
      </c>
    </row>
    <row r="76" spans="1:16" ht="15" customHeight="1">
      <c r="A76" s="224"/>
      <c r="B76" s="224"/>
      <c r="C76" s="224"/>
      <c r="D76" s="225"/>
      <c r="E76" s="225"/>
      <c r="F76" s="225"/>
      <c r="G76" s="225"/>
      <c r="H76" s="225"/>
      <c r="I76" s="225"/>
      <c r="J76" s="225"/>
      <c r="K76" s="225"/>
      <c r="L76" s="225"/>
      <c r="M76" s="225"/>
      <c r="N76" s="225"/>
      <c r="O76" s="225"/>
      <c r="P76" s="225"/>
    </row>
    <row r="77" spans="1:16" ht="25.15" customHeight="1">
      <c r="A77" s="672" t="s">
        <v>248</v>
      </c>
      <c r="B77" s="672"/>
      <c r="C77" s="672"/>
      <c r="D77" s="443">
        <f>IF(SUM($C$47:$C$61)=0,"n/a",('Assets and Depreciation'!$B$18+D75-D62))</f>
        <v>0</v>
      </c>
      <c r="E77" s="443">
        <f>IF(SUM($C$47:$C$61)=0,"n/a",(D77+E75-E62))</f>
        <v>0</v>
      </c>
      <c r="F77" s="443">
        <f t="shared" ref="F77:O77" si="26">IF(SUM($C$47:$C$61)=0,"n/a",(E77+F75-F62))</f>
        <v>0</v>
      </c>
      <c r="G77" s="443">
        <f>IF(SUM($C$47:$C$61)=0,"n/a",(F77+G75-G62))</f>
        <v>0</v>
      </c>
      <c r="H77" s="443">
        <f t="shared" si="26"/>
        <v>0</v>
      </c>
      <c r="I77" s="443">
        <f t="shared" si="26"/>
        <v>0</v>
      </c>
      <c r="J77" s="443">
        <f t="shared" si="26"/>
        <v>0</v>
      </c>
      <c r="K77" s="443">
        <f t="shared" si="26"/>
        <v>0</v>
      </c>
      <c r="L77" s="443">
        <f t="shared" si="26"/>
        <v>0</v>
      </c>
      <c r="M77" s="443">
        <f>IF(SUM($C$47:$C$61)=0,"n/a",(L77+M75-M62))</f>
        <v>0</v>
      </c>
      <c r="N77" s="443">
        <f t="shared" si="26"/>
        <v>0</v>
      </c>
      <c r="O77" s="443">
        <f t="shared" si="26"/>
        <v>0</v>
      </c>
      <c r="P77" s="39"/>
    </row>
    <row r="78" spans="1:16" ht="15.75">
      <c r="D78" s="669" t="str">
        <f>IF(SUM($C$47:$C$61)=0," ",IF(OR(D77&lt;0,D77&lt;0,E77&lt;0,F77&lt;0,G77&lt;0,H77&lt;0,I77&lt;0,J77&lt;0,K77&lt;0,L77&lt;0,M77&lt;0,N77&lt;0),"More stock needs to be purchased"," "))</f>
        <v xml:space="preserve"> </v>
      </c>
      <c r="E78" s="669"/>
      <c r="F78" s="669"/>
      <c r="G78" s="669"/>
      <c r="H78" s="669"/>
      <c r="I78" s="669"/>
      <c r="J78" s="669"/>
      <c r="K78" s="669"/>
      <c r="L78" s="669"/>
      <c r="M78" s="669"/>
      <c r="N78" s="669"/>
      <c r="O78" s="669"/>
    </row>
  </sheetData>
  <mergeCells count="42">
    <mergeCell ref="A77:C77"/>
    <mergeCell ref="D78:O78"/>
    <mergeCell ref="A70:B70"/>
    <mergeCell ref="A71:B71"/>
    <mergeCell ref="A72:B72"/>
    <mergeCell ref="A73:B73"/>
    <mergeCell ref="A74:B74"/>
    <mergeCell ref="A75:C75"/>
    <mergeCell ref="A21:B21"/>
    <mergeCell ref="A69:B69"/>
    <mergeCell ref="A23:C23"/>
    <mergeCell ref="A41:C41"/>
    <mergeCell ref="A43:C43"/>
    <mergeCell ref="A45:P45"/>
    <mergeCell ref="A62:C62"/>
    <mergeCell ref="A64:P64"/>
    <mergeCell ref="A65:B65"/>
    <mergeCell ref="C65:P65"/>
    <mergeCell ref="A66:B66"/>
    <mergeCell ref="A67:B67"/>
    <mergeCell ref="A68:B68"/>
    <mergeCell ref="A16:B16"/>
    <mergeCell ref="A17:B17"/>
    <mergeCell ref="A18:B18"/>
    <mergeCell ref="A19:B19"/>
    <mergeCell ref="A20:B20"/>
    <mergeCell ref="A1:B1"/>
    <mergeCell ref="C1:Q1"/>
    <mergeCell ref="A2:Q2"/>
    <mergeCell ref="A3:Q5"/>
    <mergeCell ref="A6:B7"/>
    <mergeCell ref="C6:C22"/>
    <mergeCell ref="D7:Q7"/>
    <mergeCell ref="A8:B8"/>
    <mergeCell ref="A9:B9"/>
    <mergeCell ref="A10:B10"/>
    <mergeCell ref="A22:B22"/>
    <mergeCell ref="A11:B11"/>
    <mergeCell ref="A12:B12"/>
    <mergeCell ref="A13:B13"/>
    <mergeCell ref="A14:B14"/>
    <mergeCell ref="A15:B15"/>
  </mergeCells>
  <conditionalFormatting sqref="D77:O77">
    <cfRule type="cellIs" dxfId="6" priority="1" stopIfTrue="1" operator="lessThan">
      <formula>1</formula>
    </cfRule>
  </conditionalFormatting>
  <dataValidations count="3">
    <dataValidation allowBlank="1" showErrorMessage="1" sqref="C47:C61" xr:uid="{5183E46F-E7BF-40CD-B909-4E0B03E34AB8}"/>
    <dataValidation type="whole" allowBlank="1" showInputMessage="1" showErrorMessage="1" error="Amounts must be in whole dollars" sqref="D67:O74" xr:uid="{34B61605-D214-4184-884D-A1443E339543}">
      <formula1>1</formula1>
      <formula2>999999</formula2>
    </dataValidation>
    <dataValidation type="list" allowBlank="1" showInputMessage="1" showErrorMessage="1" sqref="B26:B40" xr:uid="{ABA7844C-F779-429C-AB53-A78E759E9AEA}">
      <formula1>$S$7:$S$8</formula1>
    </dataValidation>
  </dataValidations>
  <pageMargins left="0.25" right="0.25" top="0.75" bottom="0.75" header="0.3" footer="0.3"/>
  <pageSetup paperSize="9" scale="42" orientation="portrait" r:id="rId1"/>
  <headerFooter alignWithMargins="0">
    <oddHeader>&amp;L&amp;A&amp;CSelf-Employment Assistance</oddHeader>
  </headerFooter>
  <rowBreaks count="1" manualBreakCount="1">
    <brk id="44" max="16"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06D76-223D-4EC3-ADE9-BE3764967115}">
  <sheetPr>
    <tabColor theme="1" tint="-0.249977111117893"/>
    <pageSetUpPr fitToPage="1"/>
  </sheetPr>
  <dimension ref="A1:S78"/>
  <sheetViews>
    <sheetView topLeftCell="A49" zoomScale="80" zoomScaleNormal="80" workbookViewId="0">
      <selection activeCell="W73" sqref="W73"/>
    </sheetView>
  </sheetViews>
  <sheetFormatPr defaultColWidth="9.28515625" defaultRowHeight="15"/>
  <cols>
    <col min="1" max="1" width="33.28515625" style="196" customWidth="1"/>
    <col min="2" max="2" width="14.5703125" style="196" customWidth="1"/>
    <col min="3" max="3" width="13" style="196" customWidth="1"/>
    <col min="4" max="16" width="12.7109375" style="196" customWidth="1"/>
    <col min="17" max="17" width="18.5703125" style="196" customWidth="1"/>
    <col min="18" max="18" width="12.42578125" style="196" customWidth="1"/>
    <col min="19" max="19" width="0" style="196" hidden="1" customWidth="1"/>
    <col min="20" max="16384" width="9.28515625" style="196"/>
  </cols>
  <sheetData>
    <row r="1" spans="1:19" ht="34.9" customHeight="1">
      <c r="A1" s="526" t="s">
        <v>181</v>
      </c>
      <c r="B1" s="526"/>
      <c r="C1" s="583" t="str">
        <f>'Set Up Details'!C2</f>
        <v>Test1</v>
      </c>
      <c r="D1" s="583"/>
      <c r="E1" s="583"/>
      <c r="F1" s="583"/>
      <c r="G1" s="583"/>
      <c r="H1" s="583"/>
      <c r="I1" s="583"/>
      <c r="J1" s="583"/>
      <c r="K1" s="583"/>
      <c r="L1" s="583"/>
      <c r="M1" s="583"/>
      <c r="N1" s="583"/>
      <c r="O1" s="583"/>
      <c r="P1" s="583"/>
      <c r="Q1" s="583"/>
    </row>
    <row r="2" spans="1:19" ht="34.9" customHeight="1" thickBot="1">
      <c r="A2" s="679"/>
      <c r="B2" s="679"/>
      <c r="C2" s="679"/>
      <c r="D2" s="679"/>
      <c r="E2" s="679"/>
      <c r="F2" s="679"/>
      <c r="G2" s="679"/>
      <c r="H2" s="679"/>
      <c r="I2" s="679"/>
      <c r="J2" s="679"/>
      <c r="K2" s="679"/>
      <c r="L2" s="679"/>
      <c r="M2" s="679"/>
      <c r="N2" s="679"/>
      <c r="O2" s="679"/>
      <c r="P2" s="679"/>
      <c r="Q2" s="679"/>
    </row>
    <row r="3" spans="1:19" ht="13.5" customHeight="1">
      <c r="A3" s="675" t="s">
        <v>454</v>
      </c>
      <c r="B3" s="675"/>
      <c r="C3" s="675"/>
      <c r="D3" s="675"/>
      <c r="E3" s="675"/>
      <c r="F3" s="675"/>
      <c r="G3" s="675"/>
      <c r="H3" s="675"/>
      <c r="I3" s="675"/>
      <c r="J3" s="675"/>
      <c r="K3" s="675"/>
      <c r="L3" s="675"/>
      <c r="M3" s="675"/>
      <c r="N3" s="675"/>
      <c r="O3" s="675"/>
      <c r="P3" s="675"/>
      <c r="Q3" s="675"/>
    </row>
    <row r="4" spans="1:19" ht="15.6" customHeight="1">
      <c r="A4" s="675"/>
      <c r="B4" s="675"/>
      <c r="C4" s="675"/>
      <c r="D4" s="675"/>
      <c r="E4" s="675"/>
      <c r="F4" s="675"/>
      <c r="G4" s="675"/>
      <c r="H4" s="675"/>
      <c r="I4" s="675"/>
      <c r="J4" s="675"/>
      <c r="K4" s="675"/>
      <c r="L4" s="675"/>
      <c r="M4" s="675"/>
      <c r="N4" s="675"/>
      <c r="O4" s="675"/>
      <c r="P4" s="675"/>
      <c r="Q4" s="675"/>
    </row>
    <row r="5" spans="1:19" ht="9" customHeight="1">
      <c r="A5" s="675"/>
      <c r="B5" s="675"/>
      <c r="C5" s="675"/>
      <c r="D5" s="675"/>
      <c r="E5" s="675"/>
      <c r="F5" s="675"/>
      <c r="G5" s="675"/>
      <c r="H5" s="675"/>
      <c r="I5" s="675"/>
      <c r="J5" s="675"/>
      <c r="K5" s="675"/>
      <c r="L5" s="675"/>
      <c r="M5" s="675"/>
      <c r="N5" s="675"/>
      <c r="O5" s="675"/>
      <c r="P5" s="675"/>
      <c r="Q5" s="675"/>
    </row>
    <row r="6" spans="1:19" ht="25.9" customHeight="1">
      <c r="A6" s="677" t="s">
        <v>219</v>
      </c>
      <c r="B6" s="677"/>
      <c r="C6" s="583" t="s">
        <v>229</v>
      </c>
      <c r="D6" s="488" t="str">
        <f>'Tables and Calculations'!B2</f>
        <v>Jan</v>
      </c>
      <c r="E6" s="488" t="str">
        <f>'Tables and Calculations'!C2</f>
        <v>Feb</v>
      </c>
      <c r="F6" s="488" t="str">
        <f>'Tables and Calculations'!D2</f>
        <v>Mar</v>
      </c>
      <c r="G6" s="488" t="str">
        <f>'Tables and Calculations'!E2</f>
        <v>Apr</v>
      </c>
      <c r="H6" s="488" t="str">
        <f>'Tables and Calculations'!F2</f>
        <v>May</v>
      </c>
      <c r="I6" s="488" t="str">
        <f>'Tables and Calculations'!G2</f>
        <v>Jun</v>
      </c>
      <c r="J6" s="488" t="str">
        <f>'Tables and Calculations'!H2</f>
        <v>Jul</v>
      </c>
      <c r="K6" s="488" t="str">
        <f>'Tables and Calculations'!I2</f>
        <v>Aug</v>
      </c>
      <c r="L6" s="488" t="str">
        <f>'Tables and Calculations'!J2</f>
        <v>Sep</v>
      </c>
      <c r="M6" s="488" t="str">
        <f>'Tables and Calculations'!K2</f>
        <v>Oct</v>
      </c>
      <c r="N6" s="488" t="str">
        <f>'Tables and Calculations'!L2</f>
        <v>Nov</v>
      </c>
      <c r="O6" s="488" t="str">
        <f>'Tables and Calculations'!M2</f>
        <v>Dec</v>
      </c>
      <c r="P6" s="488" t="s">
        <v>60</v>
      </c>
      <c r="Q6" s="488" t="s">
        <v>230</v>
      </c>
    </row>
    <row r="7" spans="1:19" ht="18" customHeight="1" thickBot="1">
      <c r="A7" s="677"/>
      <c r="B7" s="677"/>
      <c r="C7" s="583"/>
      <c r="D7" s="678" t="s">
        <v>231</v>
      </c>
      <c r="E7" s="678"/>
      <c r="F7" s="678"/>
      <c r="G7" s="678"/>
      <c r="H7" s="678"/>
      <c r="I7" s="678"/>
      <c r="J7" s="678"/>
      <c r="K7" s="678"/>
      <c r="L7" s="678"/>
      <c r="M7" s="678"/>
      <c r="N7" s="678"/>
      <c r="O7" s="678"/>
      <c r="P7" s="678"/>
      <c r="Q7" s="678"/>
      <c r="S7" s="196" t="s">
        <v>35</v>
      </c>
    </row>
    <row r="8" spans="1:19" ht="18" customHeight="1" thickBot="1">
      <c r="A8" s="588" t="str">
        <f>IF(ISBLANK('Sales Details'!A6)," ",('Sales Details'!A6))</f>
        <v>Test-category-1</v>
      </c>
      <c r="B8" s="588"/>
      <c r="C8" s="583"/>
      <c r="D8" s="494"/>
      <c r="E8" s="494"/>
      <c r="F8" s="494"/>
      <c r="G8" s="494"/>
      <c r="H8" s="494"/>
      <c r="I8" s="494"/>
      <c r="J8" s="494"/>
      <c r="K8" s="494"/>
      <c r="L8" s="494"/>
      <c r="M8" s="494"/>
      <c r="N8" s="494"/>
      <c r="O8" s="494"/>
      <c r="P8" s="445">
        <f t="shared" ref="P8:P22" si="0">SUM(D8:O8)</f>
        <v>0</v>
      </c>
      <c r="Q8" s="199">
        <f t="shared" ref="Q8:Q22" si="1">IF(ISERROR(P8/$P$23),0,P8/$P$23)</f>
        <v>0</v>
      </c>
      <c r="S8" s="196" t="s">
        <v>36</v>
      </c>
    </row>
    <row r="9" spans="1:19" ht="18" customHeight="1" thickBot="1">
      <c r="A9" s="588" t="str">
        <f>IF(ISBLANK('Sales Details'!A7)," ",('Sales Details'!A7))</f>
        <v>Test-category-2</v>
      </c>
      <c r="B9" s="588"/>
      <c r="C9" s="583"/>
      <c r="D9" s="494"/>
      <c r="E9" s="494"/>
      <c r="F9" s="494"/>
      <c r="G9" s="494"/>
      <c r="H9" s="494"/>
      <c r="I9" s="494"/>
      <c r="J9" s="494"/>
      <c r="K9" s="494"/>
      <c r="L9" s="494"/>
      <c r="M9" s="494"/>
      <c r="N9" s="494"/>
      <c r="O9" s="494"/>
      <c r="P9" s="445">
        <f t="shared" si="0"/>
        <v>0</v>
      </c>
      <c r="Q9" s="200">
        <f t="shared" si="1"/>
        <v>0</v>
      </c>
    </row>
    <row r="10" spans="1:19" ht="18" customHeight="1" thickBot="1">
      <c r="A10" s="588" t="str">
        <f>IF(ISBLANK('Sales Details'!A8)," ",('Sales Details'!A8))</f>
        <v>Test-category-3</v>
      </c>
      <c r="B10" s="588"/>
      <c r="C10" s="583"/>
      <c r="D10" s="494"/>
      <c r="E10" s="494"/>
      <c r="F10" s="494"/>
      <c r="G10" s="494"/>
      <c r="H10" s="494"/>
      <c r="I10" s="494"/>
      <c r="J10" s="494"/>
      <c r="K10" s="494"/>
      <c r="L10" s="494"/>
      <c r="M10" s="494"/>
      <c r="N10" s="494"/>
      <c r="O10" s="494"/>
      <c r="P10" s="445">
        <f t="shared" si="0"/>
        <v>0</v>
      </c>
      <c r="Q10" s="200">
        <f t="shared" si="1"/>
        <v>0</v>
      </c>
    </row>
    <row r="11" spans="1:19" ht="18" customHeight="1" thickBot="1">
      <c r="A11" s="588" t="str">
        <f>IF(ISBLANK('Sales Details'!A9)," ",('Sales Details'!A9))</f>
        <v xml:space="preserve"> </v>
      </c>
      <c r="B11" s="588"/>
      <c r="C11" s="583"/>
      <c r="D11" s="494"/>
      <c r="E11" s="494"/>
      <c r="F11" s="494"/>
      <c r="G11" s="494"/>
      <c r="H11" s="494"/>
      <c r="I11" s="494"/>
      <c r="J11" s="494"/>
      <c r="K11" s="494"/>
      <c r="L11" s="494"/>
      <c r="M11" s="494"/>
      <c r="N11" s="494"/>
      <c r="O11" s="494"/>
      <c r="P11" s="445">
        <f t="shared" si="0"/>
        <v>0</v>
      </c>
      <c r="Q11" s="200">
        <f t="shared" si="1"/>
        <v>0</v>
      </c>
    </row>
    <row r="12" spans="1:19" ht="18" customHeight="1" thickBot="1">
      <c r="A12" s="588" t="str">
        <f>IF(ISBLANK('Sales Details'!A10)," ",('Sales Details'!A10))</f>
        <v xml:space="preserve"> </v>
      </c>
      <c r="B12" s="588"/>
      <c r="C12" s="583"/>
      <c r="D12" s="494"/>
      <c r="E12" s="494"/>
      <c r="F12" s="494"/>
      <c r="G12" s="494"/>
      <c r="H12" s="494"/>
      <c r="I12" s="494"/>
      <c r="J12" s="494"/>
      <c r="K12" s="494"/>
      <c r="L12" s="494"/>
      <c r="M12" s="494"/>
      <c r="N12" s="494"/>
      <c r="O12" s="494"/>
      <c r="P12" s="445">
        <f t="shared" si="0"/>
        <v>0</v>
      </c>
      <c r="Q12" s="200">
        <f t="shared" si="1"/>
        <v>0</v>
      </c>
    </row>
    <row r="13" spans="1:19" ht="18" customHeight="1" thickBot="1">
      <c r="A13" s="588" t="str">
        <f>IF(ISBLANK('Sales Details'!A11)," ",('Sales Details'!A11))</f>
        <v xml:space="preserve"> </v>
      </c>
      <c r="B13" s="588"/>
      <c r="C13" s="583"/>
      <c r="D13" s="494"/>
      <c r="E13" s="494"/>
      <c r="F13" s="494"/>
      <c r="G13" s="494"/>
      <c r="H13" s="494"/>
      <c r="I13" s="494"/>
      <c r="J13" s="494"/>
      <c r="K13" s="494"/>
      <c r="L13" s="494"/>
      <c r="M13" s="494"/>
      <c r="N13" s="494"/>
      <c r="O13" s="494"/>
      <c r="P13" s="445">
        <f t="shared" si="0"/>
        <v>0</v>
      </c>
      <c r="Q13" s="200">
        <f t="shared" si="1"/>
        <v>0</v>
      </c>
    </row>
    <row r="14" spans="1:19" ht="18" customHeight="1" thickBot="1">
      <c r="A14" s="588" t="str">
        <f>IF(ISBLANK('Sales Details'!A12)," ",('Sales Details'!A12))</f>
        <v xml:space="preserve"> </v>
      </c>
      <c r="B14" s="588"/>
      <c r="C14" s="583"/>
      <c r="D14" s="494"/>
      <c r="E14" s="494"/>
      <c r="F14" s="494"/>
      <c r="G14" s="494"/>
      <c r="H14" s="494"/>
      <c r="I14" s="494"/>
      <c r="J14" s="494"/>
      <c r="K14" s="494"/>
      <c r="L14" s="494"/>
      <c r="M14" s="494"/>
      <c r="N14" s="494"/>
      <c r="O14" s="494"/>
      <c r="P14" s="445">
        <f t="shared" si="0"/>
        <v>0</v>
      </c>
      <c r="Q14" s="200">
        <f t="shared" si="1"/>
        <v>0</v>
      </c>
    </row>
    <row r="15" spans="1:19" ht="18" customHeight="1" thickBot="1">
      <c r="A15" s="588" t="str">
        <f>IF(ISBLANK('Sales Details'!A13)," ",('Sales Details'!A13))</f>
        <v xml:space="preserve"> </v>
      </c>
      <c r="B15" s="588"/>
      <c r="C15" s="583"/>
      <c r="D15" s="494"/>
      <c r="E15" s="494"/>
      <c r="F15" s="494"/>
      <c r="G15" s="494"/>
      <c r="H15" s="494"/>
      <c r="I15" s="494"/>
      <c r="J15" s="494"/>
      <c r="K15" s="494"/>
      <c r="L15" s="494"/>
      <c r="M15" s="494"/>
      <c r="N15" s="494"/>
      <c r="O15" s="494"/>
      <c r="P15" s="445">
        <f t="shared" si="0"/>
        <v>0</v>
      </c>
      <c r="Q15" s="200">
        <f t="shared" si="1"/>
        <v>0</v>
      </c>
    </row>
    <row r="16" spans="1:19" ht="18" customHeight="1" thickBot="1">
      <c r="A16" s="588" t="str">
        <f>IF(ISBLANK('Sales Details'!A14)," ",('Sales Details'!A14))</f>
        <v xml:space="preserve"> </v>
      </c>
      <c r="B16" s="588"/>
      <c r="C16" s="583"/>
      <c r="D16" s="494"/>
      <c r="E16" s="494"/>
      <c r="F16" s="494"/>
      <c r="G16" s="494"/>
      <c r="H16" s="494"/>
      <c r="I16" s="494"/>
      <c r="J16" s="494"/>
      <c r="K16" s="494"/>
      <c r="L16" s="494"/>
      <c r="M16" s="494"/>
      <c r="N16" s="494"/>
      <c r="O16" s="494"/>
      <c r="P16" s="445">
        <f t="shared" si="0"/>
        <v>0</v>
      </c>
      <c r="Q16" s="200">
        <f t="shared" si="1"/>
        <v>0</v>
      </c>
    </row>
    <row r="17" spans="1:17" ht="18" customHeight="1" thickBot="1">
      <c r="A17" s="588" t="str">
        <f>IF(ISBLANK('Sales Details'!A15)," ",('Sales Details'!A15))</f>
        <v xml:space="preserve"> </v>
      </c>
      <c r="B17" s="588"/>
      <c r="C17" s="583"/>
      <c r="D17" s="494"/>
      <c r="E17" s="494"/>
      <c r="F17" s="494"/>
      <c r="G17" s="494"/>
      <c r="H17" s="494"/>
      <c r="I17" s="494"/>
      <c r="J17" s="494"/>
      <c r="K17" s="494"/>
      <c r="L17" s="494"/>
      <c r="M17" s="494"/>
      <c r="N17" s="494"/>
      <c r="O17" s="494"/>
      <c r="P17" s="445">
        <f t="shared" si="0"/>
        <v>0</v>
      </c>
      <c r="Q17" s="200">
        <f t="shared" si="1"/>
        <v>0</v>
      </c>
    </row>
    <row r="18" spans="1:17" ht="18" customHeight="1" thickBot="1">
      <c r="A18" s="588" t="str">
        <f>IF(ISBLANK('Sales Details'!A16)," ",('Sales Details'!A16))</f>
        <v xml:space="preserve"> </v>
      </c>
      <c r="B18" s="588"/>
      <c r="C18" s="583"/>
      <c r="D18" s="494"/>
      <c r="E18" s="494"/>
      <c r="F18" s="494"/>
      <c r="G18" s="494"/>
      <c r="H18" s="494"/>
      <c r="I18" s="494"/>
      <c r="J18" s="494"/>
      <c r="K18" s="494"/>
      <c r="L18" s="494"/>
      <c r="M18" s="494"/>
      <c r="N18" s="494"/>
      <c r="O18" s="494"/>
      <c r="P18" s="445">
        <f t="shared" si="0"/>
        <v>0</v>
      </c>
      <c r="Q18" s="200">
        <f t="shared" si="1"/>
        <v>0</v>
      </c>
    </row>
    <row r="19" spans="1:17" ht="18" customHeight="1" thickBot="1">
      <c r="A19" s="588" t="str">
        <f>IF(ISBLANK('Sales Details'!A17)," ",('Sales Details'!A17))</f>
        <v xml:space="preserve"> </v>
      </c>
      <c r="B19" s="588"/>
      <c r="C19" s="583"/>
      <c r="D19" s="494"/>
      <c r="E19" s="494"/>
      <c r="F19" s="494"/>
      <c r="G19" s="494"/>
      <c r="H19" s="494"/>
      <c r="I19" s="494"/>
      <c r="J19" s="494"/>
      <c r="K19" s="494"/>
      <c r="L19" s="494"/>
      <c r="M19" s="494"/>
      <c r="N19" s="494"/>
      <c r="O19" s="494"/>
      <c r="P19" s="445">
        <f t="shared" si="0"/>
        <v>0</v>
      </c>
      <c r="Q19" s="200">
        <f t="shared" si="1"/>
        <v>0</v>
      </c>
    </row>
    <row r="20" spans="1:17" ht="18" customHeight="1" thickBot="1">
      <c r="A20" s="588" t="str">
        <f>IF(ISBLANK('Sales Details'!A18)," ",('Sales Details'!A18))</f>
        <v xml:space="preserve"> </v>
      </c>
      <c r="B20" s="588"/>
      <c r="C20" s="583"/>
      <c r="D20" s="494"/>
      <c r="E20" s="494"/>
      <c r="F20" s="494"/>
      <c r="G20" s="494"/>
      <c r="H20" s="494"/>
      <c r="I20" s="494"/>
      <c r="J20" s="494"/>
      <c r="K20" s="494"/>
      <c r="L20" s="494"/>
      <c r="M20" s="494"/>
      <c r="N20" s="494"/>
      <c r="O20" s="494"/>
      <c r="P20" s="445">
        <f t="shared" si="0"/>
        <v>0</v>
      </c>
      <c r="Q20" s="200">
        <f t="shared" si="1"/>
        <v>0</v>
      </c>
    </row>
    <row r="21" spans="1:17" ht="18" customHeight="1" thickBot="1">
      <c r="A21" s="588" t="str">
        <f>IF(ISBLANK('Sales Details'!A19)," ",('Sales Details'!A19))</f>
        <v xml:space="preserve"> </v>
      </c>
      <c r="B21" s="588"/>
      <c r="C21" s="583"/>
      <c r="D21" s="494"/>
      <c r="E21" s="494"/>
      <c r="F21" s="494"/>
      <c r="G21" s="494"/>
      <c r="H21" s="494"/>
      <c r="I21" s="494"/>
      <c r="J21" s="494"/>
      <c r="K21" s="494"/>
      <c r="L21" s="494"/>
      <c r="M21" s="494"/>
      <c r="N21" s="494"/>
      <c r="O21" s="494"/>
      <c r="P21" s="445">
        <f t="shared" si="0"/>
        <v>0</v>
      </c>
      <c r="Q21" s="200">
        <f t="shared" si="1"/>
        <v>0</v>
      </c>
    </row>
    <row r="22" spans="1:17" ht="18" customHeight="1" thickBot="1">
      <c r="A22" s="588" t="str">
        <f>IF(ISBLANK('Sales Details'!A20)," ",('Sales Details'!A20))</f>
        <v xml:space="preserve"> </v>
      </c>
      <c r="B22" s="588"/>
      <c r="C22" s="583"/>
      <c r="D22" s="494"/>
      <c r="E22" s="494"/>
      <c r="F22" s="494"/>
      <c r="G22" s="494"/>
      <c r="H22" s="494"/>
      <c r="I22" s="494"/>
      <c r="J22" s="494"/>
      <c r="K22" s="494"/>
      <c r="L22" s="494"/>
      <c r="M22" s="494"/>
      <c r="N22" s="494"/>
      <c r="O22" s="494"/>
      <c r="P22" s="445">
        <f t="shared" si="0"/>
        <v>0</v>
      </c>
      <c r="Q22" s="201">
        <f t="shared" si="1"/>
        <v>0</v>
      </c>
    </row>
    <row r="23" spans="1:17" ht="25.15" customHeight="1" thickBot="1">
      <c r="A23" s="674" t="s">
        <v>232</v>
      </c>
      <c r="B23" s="674"/>
      <c r="C23" s="674"/>
      <c r="D23" s="445">
        <f t="shared" ref="D23:P23" si="2">SUM(D8:D22)</f>
        <v>0</v>
      </c>
      <c r="E23" s="445">
        <f t="shared" si="2"/>
        <v>0</v>
      </c>
      <c r="F23" s="445">
        <f t="shared" si="2"/>
        <v>0</v>
      </c>
      <c r="G23" s="445">
        <f t="shared" si="2"/>
        <v>0</v>
      </c>
      <c r="H23" s="445">
        <f t="shared" si="2"/>
        <v>0</v>
      </c>
      <c r="I23" s="445">
        <f t="shared" si="2"/>
        <v>0</v>
      </c>
      <c r="J23" s="445">
        <f t="shared" si="2"/>
        <v>0</v>
      </c>
      <c r="K23" s="445">
        <f t="shared" si="2"/>
        <v>0</v>
      </c>
      <c r="L23" s="445">
        <f t="shared" si="2"/>
        <v>0</v>
      </c>
      <c r="M23" s="445">
        <f t="shared" si="2"/>
        <v>0</v>
      </c>
      <c r="N23" s="445">
        <f t="shared" si="2"/>
        <v>0</v>
      </c>
      <c r="O23" s="445">
        <f t="shared" si="2"/>
        <v>0</v>
      </c>
      <c r="P23" s="445">
        <f t="shared" si="2"/>
        <v>0</v>
      </c>
      <c r="Q23" s="202">
        <f>Q8+Q9+Q10+Q11+Q12+Q13+Q14+Q15+Q16+Q17+Q18+Q19+Q20+Q21+Q22</f>
        <v>0</v>
      </c>
    </row>
    <row r="24" spans="1:17" ht="15" customHeight="1" thickBot="1"/>
    <row r="25" spans="1:17" ht="32.65" customHeight="1" thickBot="1">
      <c r="A25" s="203" t="s">
        <v>233</v>
      </c>
      <c r="B25" s="194" t="s">
        <v>234</v>
      </c>
      <c r="C25" s="194" t="s">
        <v>235</v>
      </c>
      <c r="D25" s="204" t="str">
        <f>D6</f>
        <v>Jan</v>
      </c>
      <c r="E25" s="204" t="str">
        <f t="shared" ref="E25:P25" si="3">E6</f>
        <v>Feb</v>
      </c>
      <c r="F25" s="204" t="str">
        <f t="shared" si="3"/>
        <v>Mar</v>
      </c>
      <c r="G25" s="204" t="str">
        <f t="shared" si="3"/>
        <v>Apr</v>
      </c>
      <c r="H25" s="204" t="str">
        <f t="shared" si="3"/>
        <v>May</v>
      </c>
      <c r="I25" s="204" t="str">
        <f t="shared" si="3"/>
        <v>Jun</v>
      </c>
      <c r="J25" s="204" t="str">
        <f t="shared" si="3"/>
        <v>Jul</v>
      </c>
      <c r="K25" s="204" t="str">
        <f t="shared" si="3"/>
        <v>Aug</v>
      </c>
      <c r="L25" s="204" t="str">
        <f t="shared" si="3"/>
        <v>Sep</v>
      </c>
      <c r="M25" s="204" t="str">
        <f t="shared" si="3"/>
        <v>Oct</v>
      </c>
      <c r="N25" s="204" t="str">
        <f t="shared" si="3"/>
        <v>Nov</v>
      </c>
      <c r="O25" s="204" t="str">
        <f t="shared" si="3"/>
        <v>Dec</v>
      </c>
      <c r="P25" s="205" t="str">
        <f t="shared" si="3"/>
        <v>Total</v>
      </c>
      <c r="Q25" s="198" t="s">
        <v>236</v>
      </c>
    </row>
    <row r="26" spans="1:17" ht="18" customHeight="1" thickBot="1">
      <c r="A26" s="497" t="str">
        <f>IF(ISBLANK('Sales Details'!A6)," ",('Sales Details'!A6))</f>
        <v>Test-category-1</v>
      </c>
      <c r="B26" s="495"/>
      <c r="C26" s="206">
        <f>'Sales Details'!C6</f>
        <v>10000</v>
      </c>
      <c r="D26" s="443">
        <f t="shared" ref="D26:O40" si="4">INT($C26*D8)</f>
        <v>0</v>
      </c>
      <c r="E26" s="443">
        <f t="shared" si="4"/>
        <v>0</v>
      </c>
      <c r="F26" s="443">
        <f t="shared" si="4"/>
        <v>0</v>
      </c>
      <c r="G26" s="443">
        <f t="shared" si="4"/>
        <v>0</v>
      </c>
      <c r="H26" s="443">
        <f t="shared" si="4"/>
        <v>0</v>
      </c>
      <c r="I26" s="443">
        <f t="shared" si="4"/>
        <v>0</v>
      </c>
      <c r="J26" s="443">
        <f t="shared" si="4"/>
        <v>0</v>
      </c>
      <c r="K26" s="443">
        <f t="shared" si="4"/>
        <v>0</v>
      </c>
      <c r="L26" s="443">
        <f t="shared" si="4"/>
        <v>0</v>
      </c>
      <c r="M26" s="443">
        <f t="shared" si="4"/>
        <v>0</v>
      </c>
      <c r="N26" s="443">
        <f t="shared" si="4"/>
        <v>0</v>
      </c>
      <c r="O26" s="443">
        <f t="shared" si="4"/>
        <v>0</v>
      </c>
      <c r="P26" s="445">
        <f t="shared" ref="P26:P40" si="5">SUM(D26:O26)</f>
        <v>0</v>
      </c>
      <c r="Q26" s="207">
        <f t="shared" ref="Q26:Q40" si="6">IF(ISERROR(P26/$P$41),0,P26/$P$41)</f>
        <v>0</v>
      </c>
    </row>
    <row r="27" spans="1:17" ht="18" customHeight="1" thickBot="1">
      <c r="A27" s="497" t="str">
        <f>IF(ISBLANK('Sales Details'!A7)," ",('Sales Details'!A7))</f>
        <v>Test-category-2</v>
      </c>
      <c r="B27" s="495"/>
      <c r="C27" s="206">
        <f>'Sales Details'!C7</f>
        <v>5000</v>
      </c>
      <c r="D27" s="443">
        <f t="shared" si="4"/>
        <v>0</v>
      </c>
      <c r="E27" s="443">
        <f t="shared" si="4"/>
        <v>0</v>
      </c>
      <c r="F27" s="443">
        <f t="shared" si="4"/>
        <v>0</v>
      </c>
      <c r="G27" s="443">
        <f t="shared" si="4"/>
        <v>0</v>
      </c>
      <c r="H27" s="443">
        <f t="shared" si="4"/>
        <v>0</v>
      </c>
      <c r="I27" s="443">
        <f t="shared" si="4"/>
        <v>0</v>
      </c>
      <c r="J27" s="443">
        <f t="shared" si="4"/>
        <v>0</v>
      </c>
      <c r="K27" s="443">
        <f t="shared" si="4"/>
        <v>0</v>
      </c>
      <c r="L27" s="443">
        <f t="shared" si="4"/>
        <v>0</v>
      </c>
      <c r="M27" s="443">
        <f t="shared" si="4"/>
        <v>0</v>
      </c>
      <c r="N27" s="443">
        <f t="shared" si="4"/>
        <v>0</v>
      </c>
      <c r="O27" s="443">
        <f t="shared" si="4"/>
        <v>0</v>
      </c>
      <c r="P27" s="445">
        <f t="shared" si="5"/>
        <v>0</v>
      </c>
      <c r="Q27" s="208">
        <f t="shared" si="6"/>
        <v>0</v>
      </c>
    </row>
    <row r="28" spans="1:17" ht="18" customHeight="1" thickBot="1">
      <c r="A28" s="497" t="str">
        <f>IF(ISBLANK('Sales Details'!A8)," ",('Sales Details'!A8))</f>
        <v>Test-category-3</v>
      </c>
      <c r="B28" s="495"/>
      <c r="C28" s="206">
        <f>'Sales Details'!C8</f>
        <v>4000</v>
      </c>
      <c r="D28" s="443">
        <f t="shared" si="4"/>
        <v>0</v>
      </c>
      <c r="E28" s="443">
        <f t="shared" si="4"/>
        <v>0</v>
      </c>
      <c r="F28" s="443">
        <f t="shared" si="4"/>
        <v>0</v>
      </c>
      <c r="G28" s="443">
        <f t="shared" si="4"/>
        <v>0</v>
      </c>
      <c r="H28" s="443">
        <f t="shared" si="4"/>
        <v>0</v>
      </c>
      <c r="I28" s="443">
        <f t="shared" si="4"/>
        <v>0</v>
      </c>
      <c r="J28" s="443">
        <f t="shared" si="4"/>
        <v>0</v>
      </c>
      <c r="K28" s="443">
        <f t="shared" si="4"/>
        <v>0</v>
      </c>
      <c r="L28" s="443">
        <f t="shared" si="4"/>
        <v>0</v>
      </c>
      <c r="M28" s="443">
        <f t="shared" si="4"/>
        <v>0</v>
      </c>
      <c r="N28" s="443">
        <f t="shared" si="4"/>
        <v>0</v>
      </c>
      <c r="O28" s="443">
        <f t="shared" si="4"/>
        <v>0</v>
      </c>
      <c r="P28" s="445">
        <f t="shared" si="5"/>
        <v>0</v>
      </c>
      <c r="Q28" s="208">
        <f t="shared" si="6"/>
        <v>0</v>
      </c>
    </row>
    <row r="29" spans="1:17" ht="18" customHeight="1" thickBot="1">
      <c r="A29" s="497" t="str">
        <f>IF(ISBLANK('Sales Details'!A9)," ",('Sales Details'!A9))</f>
        <v xml:space="preserve"> </v>
      </c>
      <c r="B29" s="495"/>
      <c r="C29" s="206">
        <f>'Sales Details'!C9</f>
        <v>0</v>
      </c>
      <c r="D29" s="443">
        <f t="shared" si="4"/>
        <v>0</v>
      </c>
      <c r="E29" s="443">
        <f t="shared" si="4"/>
        <v>0</v>
      </c>
      <c r="F29" s="443">
        <f t="shared" si="4"/>
        <v>0</v>
      </c>
      <c r="G29" s="443">
        <f t="shared" si="4"/>
        <v>0</v>
      </c>
      <c r="H29" s="443">
        <f t="shared" si="4"/>
        <v>0</v>
      </c>
      <c r="I29" s="443">
        <f t="shared" si="4"/>
        <v>0</v>
      </c>
      <c r="J29" s="443">
        <f t="shared" si="4"/>
        <v>0</v>
      </c>
      <c r="K29" s="443">
        <f t="shared" si="4"/>
        <v>0</v>
      </c>
      <c r="L29" s="443">
        <f t="shared" si="4"/>
        <v>0</v>
      </c>
      <c r="M29" s="443">
        <f t="shared" si="4"/>
        <v>0</v>
      </c>
      <c r="N29" s="443">
        <f t="shared" si="4"/>
        <v>0</v>
      </c>
      <c r="O29" s="443">
        <f t="shared" si="4"/>
        <v>0</v>
      </c>
      <c r="P29" s="445">
        <f t="shared" si="5"/>
        <v>0</v>
      </c>
      <c r="Q29" s="208">
        <f t="shared" si="6"/>
        <v>0</v>
      </c>
    </row>
    <row r="30" spans="1:17" ht="18" customHeight="1" thickBot="1">
      <c r="A30" s="497" t="str">
        <f>IF(ISBLANK('Sales Details'!A10)," ",('Sales Details'!A10))</f>
        <v xml:space="preserve"> </v>
      </c>
      <c r="B30" s="495"/>
      <c r="C30" s="206">
        <f>'Sales Details'!C10</f>
        <v>0</v>
      </c>
      <c r="D30" s="443">
        <f t="shared" si="4"/>
        <v>0</v>
      </c>
      <c r="E30" s="443">
        <f t="shared" si="4"/>
        <v>0</v>
      </c>
      <c r="F30" s="443">
        <f t="shared" si="4"/>
        <v>0</v>
      </c>
      <c r="G30" s="443">
        <f t="shared" si="4"/>
        <v>0</v>
      </c>
      <c r="H30" s="443">
        <f t="shared" si="4"/>
        <v>0</v>
      </c>
      <c r="I30" s="443">
        <f t="shared" si="4"/>
        <v>0</v>
      </c>
      <c r="J30" s="443">
        <f t="shared" si="4"/>
        <v>0</v>
      </c>
      <c r="K30" s="443">
        <f t="shared" si="4"/>
        <v>0</v>
      </c>
      <c r="L30" s="443">
        <f t="shared" si="4"/>
        <v>0</v>
      </c>
      <c r="M30" s="443">
        <f t="shared" si="4"/>
        <v>0</v>
      </c>
      <c r="N30" s="443">
        <f t="shared" si="4"/>
        <v>0</v>
      </c>
      <c r="O30" s="443">
        <f t="shared" si="4"/>
        <v>0</v>
      </c>
      <c r="P30" s="445">
        <f t="shared" si="5"/>
        <v>0</v>
      </c>
      <c r="Q30" s="208">
        <f t="shared" si="6"/>
        <v>0</v>
      </c>
    </row>
    <row r="31" spans="1:17" ht="18" customHeight="1" thickBot="1">
      <c r="A31" s="497" t="str">
        <f>IF(ISBLANK('Sales Details'!A11)," ",('Sales Details'!A11))</f>
        <v xml:space="preserve"> </v>
      </c>
      <c r="B31" s="495"/>
      <c r="C31" s="206">
        <f>'Sales Details'!C11</f>
        <v>0</v>
      </c>
      <c r="D31" s="443">
        <f t="shared" si="4"/>
        <v>0</v>
      </c>
      <c r="E31" s="443">
        <f t="shared" si="4"/>
        <v>0</v>
      </c>
      <c r="F31" s="443">
        <f t="shared" si="4"/>
        <v>0</v>
      </c>
      <c r="G31" s="443">
        <f t="shared" si="4"/>
        <v>0</v>
      </c>
      <c r="H31" s="443">
        <f t="shared" si="4"/>
        <v>0</v>
      </c>
      <c r="I31" s="443">
        <f t="shared" si="4"/>
        <v>0</v>
      </c>
      <c r="J31" s="443">
        <f t="shared" si="4"/>
        <v>0</v>
      </c>
      <c r="K31" s="443">
        <f t="shared" si="4"/>
        <v>0</v>
      </c>
      <c r="L31" s="443">
        <f t="shared" si="4"/>
        <v>0</v>
      </c>
      <c r="M31" s="443">
        <f t="shared" si="4"/>
        <v>0</v>
      </c>
      <c r="N31" s="443">
        <f t="shared" si="4"/>
        <v>0</v>
      </c>
      <c r="O31" s="443">
        <f t="shared" si="4"/>
        <v>0</v>
      </c>
      <c r="P31" s="445">
        <f t="shared" si="5"/>
        <v>0</v>
      </c>
      <c r="Q31" s="208">
        <f t="shared" si="6"/>
        <v>0</v>
      </c>
    </row>
    <row r="32" spans="1:17" ht="18" customHeight="1" thickBot="1">
      <c r="A32" s="497" t="str">
        <f>IF(ISBLANK('Sales Details'!A12)," ",('Sales Details'!A12))</f>
        <v xml:space="preserve"> </v>
      </c>
      <c r="B32" s="495"/>
      <c r="C32" s="206">
        <f>'Sales Details'!C12</f>
        <v>0</v>
      </c>
      <c r="D32" s="443">
        <f t="shared" si="4"/>
        <v>0</v>
      </c>
      <c r="E32" s="443">
        <f t="shared" si="4"/>
        <v>0</v>
      </c>
      <c r="F32" s="443">
        <f t="shared" si="4"/>
        <v>0</v>
      </c>
      <c r="G32" s="443">
        <f t="shared" si="4"/>
        <v>0</v>
      </c>
      <c r="H32" s="443">
        <f t="shared" si="4"/>
        <v>0</v>
      </c>
      <c r="I32" s="443">
        <f t="shared" si="4"/>
        <v>0</v>
      </c>
      <c r="J32" s="443">
        <f t="shared" si="4"/>
        <v>0</v>
      </c>
      <c r="K32" s="443">
        <f t="shared" si="4"/>
        <v>0</v>
      </c>
      <c r="L32" s="443">
        <f t="shared" si="4"/>
        <v>0</v>
      </c>
      <c r="M32" s="443">
        <f t="shared" si="4"/>
        <v>0</v>
      </c>
      <c r="N32" s="443">
        <f t="shared" si="4"/>
        <v>0</v>
      </c>
      <c r="O32" s="443">
        <f t="shared" si="4"/>
        <v>0</v>
      </c>
      <c r="P32" s="445">
        <f t="shared" si="5"/>
        <v>0</v>
      </c>
      <c r="Q32" s="208">
        <f t="shared" si="6"/>
        <v>0</v>
      </c>
    </row>
    <row r="33" spans="1:17" ht="18" customHeight="1" thickBot="1">
      <c r="A33" s="497" t="str">
        <f>IF(ISBLANK('Sales Details'!A13)," ",('Sales Details'!A13))</f>
        <v xml:space="preserve"> </v>
      </c>
      <c r="B33" s="495"/>
      <c r="C33" s="206">
        <f>'Sales Details'!C13</f>
        <v>0</v>
      </c>
      <c r="D33" s="443">
        <f t="shared" si="4"/>
        <v>0</v>
      </c>
      <c r="E33" s="443">
        <f t="shared" si="4"/>
        <v>0</v>
      </c>
      <c r="F33" s="443">
        <f t="shared" si="4"/>
        <v>0</v>
      </c>
      <c r="G33" s="443">
        <f t="shared" si="4"/>
        <v>0</v>
      </c>
      <c r="H33" s="443">
        <f t="shared" si="4"/>
        <v>0</v>
      </c>
      <c r="I33" s="443">
        <f t="shared" si="4"/>
        <v>0</v>
      </c>
      <c r="J33" s="443">
        <f t="shared" si="4"/>
        <v>0</v>
      </c>
      <c r="K33" s="443">
        <f t="shared" si="4"/>
        <v>0</v>
      </c>
      <c r="L33" s="443">
        <f t="shared" si="4"/>
        <v>0</v>
      </c>
      <c r="M33" s="443">
        <f t="shared" si="4"/>
        <v>0</v>
      </c>
      <c r="N33" s="443">
        <f t="shared" si="4"/>
        <v>0</v>
      </c>
      <c r="O33" s="443">
        <f t="shared" si="4"/>
        <v>0</v>
      </c>
      <c r="P33" s="445">
        <f t="shared" si="5"/>
        <v>0</v>
      </c>
      <c r="Q33" s="208">
        <f t="shared" si="6"/>
        <v>0</v>
      </c>
    </row>
    <row r="34" spans="1:17" ht="18" customHeight="1" thickBot="1">
      <c r="A34" s="497" t="str">
        <f>IF(ISBLANK('Sales Details'!A14)," ",('Sales Details'!A14))</f>
        <v xml:space="preserve"> </v>
      </c>
      <c r="B34" s="495"/>
      <c r="C34" s="206">
        <f>'Sales Details'!C14</f>
        <v>0</v>
      </c>
      <c r="D34" s="443">
        <f t="shared" si="4"/>
        <v>0</v>
      </c>
      <c r="E34" s="443">
        <f t="shared" si="4"/>
        <v>0</v>
      </c>
      <c r="F34" s="443">
        <f t="shared" si="4"/>
        <v>0</v>
      </c>
      <c r="G34" s="443">
        <f t="shared" si="4"/>
        <v>0</v>
      </c>
      <c r="H34" s="443">
        <f t="shared" si="4"/>
        <v>0</v>
      </c>
      <c r="I34" s="443">
        <f t="shared" si="4"/>
        <v>0</v>
      </c>
      <c r="J34" s="443">
        <f t="shared" si="4"/>
        <v>0</v>
      </c>
      <c r="K34" s="443">
        <f t="shared" si="4"/>
        <v>0</v>
      </c>
      <c r="L34" s="443"/>
      <c r="M34" s="443">
        <f t="shared" si="4"/>
        <v>0</v>
      </c>
      <c r="N34" s="443">
        <f t="shared" si="4"/>
        <v>0</v>
      </c>
      <c r="O34" s="443">
        <f t="shared" si="4"/>
        <v>0</v>
      </c>
      <c r="P34" s="445">
        <f t="shared" si="5"/>
        <v>0</v>
      </c>
      <c r="Q34" s="208">
        <f t="shared" si="6"/>
        <v>0</v>
      </c>
    </row>
    <row r="35" spans="1:17" ht="18" customHeight="1" thickBot="1">
      <c r="A35" s="497" t="str">
        <f>IF(ISBLANK('Sales Details'!A15)," ",('Sales Details'!A15))</f>
        <v xml:space="preserve"> </v>
      </c>
      <c r="B35" s="495"/>
      <c r="C35" s="206">
        <f>'Sales Details'!C15</f>
        <v>0</v>
      </c>
      <c r="D35" s="443">
        <f t="shared" si="4"/>
        <v>0</v>
      </c>
      <c r="E35" s="443">
        <f t="shared" si="4"/>
        <v>0</v>
      </c>
      <c r="F35" s="443">
        <f t="shared" si="4"/>
        <v>0</v>
      </c>
      <c r="G35" s="443">
        <f t="shared" si="4"/>
        <v>0</v>
      </c>
      <c r="H35" s="443">
        <f t="shared" si="4"/>
        <v>0</v>
      </c>
      <c r="I35" s="443">
        <f t="shared" si="4"/>
        <v>0</v>
      </c>
      <c r="J35" s="443">
        <f t="shared" si="4"/>
        <v>0</v>
      </c>
      <c r="K35" s="443">
        <f t="shared" si="4"/>
        <v>0</v>
      </c>
      <c r="L35" s="443">
        <f t="shared" si="4"/>
        <v>0</v>
      </c>
      <c r="M35" s="443">
        <f t="shared" si="4"/>
        <v>0</v>
      </c>
      <c r="N35" s="443">
        <f t="shared" si="4"/>
        <v>0</v>
      </c>
      <c r="O35" s="443">
        <f t="shared" si="4"/>
        <v>0</v>
      </c>
      <c r="P35" s="445">
        <f t="shared" si="5"/>
        <v>0</v>
      </c>
      <c r="Q35" s="208">
        <f t="shared" si="6"/>
        <v>0</v>
      </c>
    </row>
    <row r="36" spans="1:17" ht="18" customHeight="1" thickBot="1">
      <c r="A36" s="497" t="str">
        <f>IF(ISBLANK('Sales Details'!A16)," ",('Sales Details'!A16))</f>
        <v xml:space="preserve"> </v>
      </c>
      <c r="B36" s="495"/>
      <c r="C36" s="206">
        <f>'Sales Details'!C16</f>
        <v>0</v>
      </c>
      <c r="D36" s="443">
        <f t="shared" si="4"/>
        <v>0</v>
      </c>
      <c r="E36" s="443">
        <f t="shared" si="4"/>
        <v>0</v>
      </c>
      <c r="F36" s="443">
        <f t="shared" si="4"/>
        <v>0</v>
      </c>
      <c r="G36" s="443">
        <f t="shared" si="4"/>
        <v>0</v>
      </c>
      <c r="H36" s="443">
        <f t="shared" si="4"/>
        <v>0</v>
      </c>
      <c r="I36" s="443">
        <f t="shared" si="4"/>
        <v>0</v>
      </c>
      <c r="J36" s="443">
        <f t="shared" si="4"/>
        <v>0</v>
      </c>
      <c r="K36" s="443">
        <f t="shared" si="4"/>
        <v>0</v>
      </c>
      <c r="L36" s="443">
        <f t="shared" si="4"/>
        <v>0</v>
      </c>
      <c r="M36" s="443">
        <f t="shared" si="4"/>
        <v>0</v>
      </c>
      <c r="N36" s="443">
        <f t="shared" si="4"/>
        <v>0</v>
      </c>
      <c r="O36" s="443">
        <f t="shared" si="4"/>
        <v>0</v>
      </c>
      <c r="P36" s="445">
        <f t="shared" si="5"/>
        <v>0</v>
      </c>
      <c r="Q36" s="208">
        <f t="shared" si="6"/>
        <v>0</v>
      </c>
    </row>
    <row r="37" spans="1:17" ht="18" customHeight="1" thickBot="1">
      <c r="A37" s="497" t="str">
        <f>IF(ISBLANK('Sales Details'!A17)," ",('Sales Details'!A17))</f>
        <v xml:space="preserve"> </v>
      </c>
      <c r="B37" s="495"/>
      <c r="C37" s="206">
        <f>'Sales Details'!C17</f>
        <v>0</v>
      </c>
      <c r="D37" s="443">
        <f t="shared" si="4"/>
        <v>0</v>
      </c>
      <c r="E37" s="443">
        <f t="shared" si="4"/>
        <v>0</v>
      </c>
      <c r="F37" s="443">
        <f t="shared" si="4"/>
        <v>0</v>
      </c>
      <c r="G37" s="443">
        <f t="shared" si="4"/>
        <v>0</v>
      </c>
      <c r="H37" s="443">
        <f t="shared" si="4"/>
        <v>0</v>
      </c>
      <c r="I37" s="443">
        <f t="shared" si="4"/>
        <v>0</v>
      </c>
      <c r="J37" s="443">
        <f t="shared" si="4"/>
        <v>0</v>
      </c>
      <c r="K37" s="443">
        <f t="shared" si="4"/>
        <v>0</v>
      </c>
      <c r="L37" s="443">
        <f t="shared" si="4"/>
        <v>0</v>
      </c>
      <c r="M37" s="443">
        <f t="shared" si="4"/>
        <v>0</v>
      </c>
      <c r="N37" s="443">
        <f t="shared" si="4"/>
        <v>0</v>
      </c>
      <c r="O37" s="443">
        <f t="shared" si="4"/>
        <v>0</v>
      </c>
      <c r="P37" s="445">
        <f t="shared" si="5"/>
        <v>0</v>
      </c>
      <c r="Q37" s="208">
        <f t="shared" si="6"/>
        <v>0</v>
      </c>
    </row>
    <row r="38" spans="1:17" ht="18" customHeight="1" thickBot="1">
      <c r="A38" s="497" t="str">
        <f>IF(ISBLANK('Sales Details'!A18)," ",('Sales Details'!A18))</f>
        <v xml:space="preserve"> </v>
      </c>
      <c r="B38" s="495"/>
      <c r="C38" s="206">
        <f>'Sales Details'!C18</f>
        <v>0</v>
      </c>
      <c r="D38" s="443">
        <f t="shared" si="4"/>
        <v>0</v>
      </c>
      <c r="E38" s="443">
        <f t="shared" si="4"/>
        <v>0</v>
      </c>
      <c r="F38" s="443">
        <f t="shared" si="4"/>
        <v>0</v>
      </c>
      <c r="G38" s="443">
        <f t="shared" si="4"/>
        <v>0</v>
      </c>
      <c r="H38" s="443">
        <f t="shared" si="4"/>
        <v>0</v>
      </c>
      <c r="I38" s="443">
        <f t="shared" si="4"/>
        <v>0</v>
      </c>
      <c r="J38" s="443">
        <f t="shared" si="4"/>
        <v>0</v>
      </c>
      <c r="K38" s="443">
        <f t="shared" si="4"/>
        <v>0</v>
      </c>
      <c r="L38" s="443">
        <f t="shared" si="4"/>
        <v>0</v>
      </c>
      <c r="M38" s="443">
        <f t="shared" si="4"/>
        <v>0</v>
      </c>
      <c r="N38" s="443">
        <f t="shared" si="4"/>
        <v>0</v>
      </c>
      <c r="O38" s="443">
        <f t="shared" si="4"/>
        <v>0</v>
      </c>
      <c r="P38" s="445">
        <f t="shared" si="5"/>
        <v>0</v>
      </c>
      <c r="Q38" s="208">
        <f t="shared" si="6"/>
        <v>0</v>
      </c>
    </row>
    <row r="39" spans="1:17" ht="18" customHeight="1" thickBot="1">
      <c r="A39" s="497" t="str">
        <f>IF(ISBLANK('Sales Details'!A19)," ",('Sales Details'!A19))</f>
        <v xml:space="preserve"> </v>
      </c>
      <c r="B39" s="495"/>
      <c r="C39" s="206">
        <f>'Sales Details'!C19</f>
        <v>0</v>
      </c>
      <c r="D39" s="443">
        <f t="shared" si="4"/>
        <v>0</v>
      </c>
      <c r="E39" s="443">
        <f t="shared" si="4"/>
        <v>0</v>
      </c>
      <c r="F39" s="443">
        <f t="shared" si="4"/>
        <v>0</v>
      </c>
      <c r="G39" s="443">
        <f t="shared" si="4"/>
        <v>0</v>
      </c>
      <c r="H39" s="443">
        <f t="shared" si="4"/>
        <v>0</v>
      </c>
      <c r="I39" s="443">
        <f t="shared" si="4"/>
        <v>0</v>
      </c>
      <c r="J39" s="443">
        <f t="shared" si="4"/>
        <v>0</v>
      </c>
      <c r="K39" s="443">
        <f t="shared" si="4"/>
        <v>0</v>
      </c>
      <c r="L39" s="443">
        <f t="shared" si="4"/>
        <v>0</v>
      </c>
      <c r="M39" s="443">
        <f t="shared" si="4"/>
        <v>0</v>
      </c>
      <c r="N39" s="443">
        <f t="shared" si="4"/>
        <v>0</v>
      </c>
      <c r="O39" s="443">
        <f t="shared" si="4"/>
        <v>0</v>
      </c>
      <c r="P39" s="445">
        <f t="shared" si="5"/>
        <v>0</v>
      </c>
      <c r="Q39" s="208">
        <f t="shared" si="6"/>
        <v>0</v>
      </c>
    </row>
    <row r="40" spans="1:17" ht="18" customHeight="1" thickBot="1">
      <c r="A40" s="497" t="str">
        <f>IF(ISBLANK('Sales Details'!A20)," ",('Sales Details'!A20))</f>
        <v xml:space="preserve"> </v>
      </c>
      <c r="B40" s="495"/>
      <c r="C40" s="206">
        <f>'Sales Details'!C20</f>
        <v>0</v>
      </c>
      <c r="D40" s="443">
        <f t="shared" si="4"/>
        <v>0</v>
      </c>
      <c r="E40" s="443">
        <f t="shared" si="4"/>
        <v>0</v>
      </c>
      <c r="F40" s="443">
        <f t="shared" si="4"/>
        <v>0</v>
      </c>
      <c r="G40" s="443">
        <f t="shared" si="4"/>
        <v>0</v>
      </c>
      <c r="H40" s="443">
        <f t="shared" si="4"/>
        <v>0</v>
      </c>
      <c r="I40" s="443">
        <f t="shared" si="4"/>
        <v>0</v>
      </c>
      <c r="J40" s="443">
        <f t="shared" si="4"/>
        <v>0</v>
      </c>
      <c r="K40" s="443">
        <f t="shared" si="4"/>
        <v>0</v>
      </c>
      <c r="L40" s="443">
        <f t="shared" si="4"/>
        <v>0</v>
      </c>
      <c r="M40" s="443">
        <f t="shared" si="4"/>
        <v>0</v>
      </c>
      <c r="N40" s="443">
        <f t="shared" si="4"/>
        <v>0</v>
      </c>
      <c r="O40" s="443">
        <f t="shared" si="4"/>
        <v>0</v>
      </c>
      <c r="P40" s="445">
        <f t="shared" si="5"/>
        <v>0</v>
      </c>
      <c r="Q40" s="209">
        <f t="shared" si="6"/>
        <v>0</v>
      </c>
    </row>
    <row r="41" spans="1:17" ht="25.15" customHeight="1" thickBot="1">
      <c r="A41" s="674" t="s">
        <v>237</v>
      </c>
      <c r="B41" s="674"/>
      <c r="C41" s="674"/>
      <c r="D41" s="445">
        <f t="shared" ref="D41:P41" si="7">ROUND(SUM(D26:D40),0)</f>
        <v>0</v>
      </c>
      <c r="E41" s="445">
        <f t="shared" si="7"/>
        <v>0</v>
      </c>
      <c r="F41" s="445">
        <f t="shared" si="7"/>
        <v>0</v>
      </c>
      <c r="G41" s="445">
        <f t="shared" si="7"/>
        <v>0</v>
      </c>
      <c r="H41" s="445">
        <f t="shared" si="7"/>
        <v>0</v>
      </c>
      <c r="I41" s="445">
        <f t="shared" si="7"/>
        <v>0</v>
      </c>
      <c r="J41" s="445">
        <f t="shared" si="7"/>
        <v>0</v>
      </c>
      <c r="K41" s="445">
        <f t="shared" si="7"/>
        <v>0</v>
      </c>
      <c r="L41" s="445">
        <f t="shared" si="7"/>
        <v>0</v>
      </c>
      <c r="M41" s="445">
        <f t="shared" si="7"/>
        <v>0</v>
      </c>
      <c r="N41" s="445">
        <f t="shared" si="7"/>
        <v>0</v>
      </c>
      <c r="O41" s="445">
        <f t="shared" si="7"/>
        <v>0</v>
      </c>
      <c r="P41" s="445">
        <f t="shared" si="7"/>
        <v>0</v>
      </c>
      <c r="Q41" s="202">
        <f>Q26+Q27+Q28+Q29+Q30+Q31+Q32+Q33+Q34+Q35+Q36+Q37+Q38+Q39+Q40</f>
        <v>0</v>
      </c>
    </row>
    <row r="42" spans="1:17" ht="15" customHeight="1" thickBot="1"/>
    <row r="43" spans="1:17" ht="22.9" customHeight="1" thickBot="1">
      <c r="A43" s="674" t="s">
        <v>238</v>
      </c>
      <c r="B43" s="674"/>
      <c r="C43" s="674"/>
      <c r="D43" s="445" t="e">
        <f>'Debtors analysis'!C22</f>
        <v>#VALUE!</v>
      </c>
      <c r="E43" s="445" t="e">
        <f>'Debtors analysis'!D22</f>
        <v>#VALUE!</v>
      </c>
      <c r="F43" s="445" t="e">
        <f>'Debtors analysis'!E22</f>
        <v>#VALUE!</v>
      </c>
      <c r="G43" s="445" t="e">
        <f>'Debtors analysis'!F22</f>
        <v>#VALUE!</v>
      </c>
      <c r="H43" s="445" t="e">
        <f>'Debtors analysis'!G22</f>
        <v>#VALUE!</v>
      </c>
      <c r="I43" s="445" t="e">
        <f>'Debtors analysis'!H22</f>
        <v>#VALUE!</v>
      </c>
      <c r="J43" s="445" t="e">
        <f>'Debtors analysis'!I22</f>
        <v>#VALUE!</v>
      </c>
      <c r="K43" s="445" t="e">
        <f>'Debtors analysis'!J22</f>
        <v>#VALUE!</v>
      </c>
      <c r="L43" s="445" t="e">
        <f>'Debtors analysis'!K22</f>
        <v>#VALUE!</v>
      </c>
      <c r="M43" s="445" t="e">
        <f>'Debtors analysis'!L22</f>
        <v>#VALUE!</v>
      </c>
      <c r="N43" s="445" t="e">
        <f>'Debtors analysis'!M22</f>
        <v>#VALUE!</v>
      </c>
      <c r="O43" s="445" t="e">
        <f>'Debtors analysis'!N22</f>
        <v>#VALUE!</v>
      </c>
      <c r="P43" s="445" t="e">
        <f>SUM(D43:O43)</f>
        <v>#VALUE!</v>
      </c>
    </row>
    <row r="44" spans="1:17" ht="15" customHeight="1"/>
    <row r="45" spans="1:17" ht="38.25" customHeight="1" thickBot="1">
      <c r="A45" s="675" t="s">
        <v>455</v>
      </c>
      <c r="B45" s="675"/>
      <c r="C45" s="675"/>
      <c r="D45" s="675"/>
      <c r="E45" s="675"/>
      <c r="F45" s="675"/>
      <c r="G45" s="675"/>
      <c r="H45" s="675"/>
      <c r="I45" s="675"/>
      <c r="J45" s="675"/>
      <c r="K45" s="675"/>
      <c r="L45" s="675"/>
      <c r="M45" s="675"/>
      <c r="N45" s="675"/>
      <c r="O45" s="675"/>
      <c r="P45" s="675"/>
    </row>
    <row r="46" spans="1:17" s="213" customFormat="1" ht="27" customHeight="1" thickBot="1">
      <c r="A46" s="210"/>
      <c r="B46" s="194" t="s">
        <v>240</v>
      </c>
      <c r="C46" s="211" t="s">
        <v>241</v>
      </c>
      <c r="D46" s="197" t="str">
        <f t="shared" ref="D46:O46" si="8">D6</f>
        <v>Jan</v>
      </c>
      <c r="E46" s="197" t="str">
        <f t="shared" si="8"/>
        <v>Feb</v>
      </c>
      <c r="F46" s="197" t="str">
        <f t="shared" si="8"/>
        <v>Mar</v>
      </c>
      <c r="G46" s="197" t="str">
        <f t="shared" si="8"/>
        <v>Apr</v>
      </c>
      <c r="H46" s="197" t="str">
        <f t="shared" si="8"/>
        <v>May</v>
      </c>
      <c r="I46" s="197" t="str">
        <f t="shared" si="8"/>
        <v>Jun</v>
      </c>
      <c r="J46" s="197" t="str">
        <f t="shared" si="8"/>
        <v>Jul</v>
      </c>
      <c r="K46" s="197" t="str">
        <f t="shared" si="8"/>
        <v>Aug</v>
      </c>
      <c r="L46" s="197" t="str">
        <f t="shared" si="8"/>
        <v>Sep</v>
      </c>
      <c r="M46" s="197" t="str">
        <f t="shared" si="8"/>
        <v>Oct</v>
      </c>
      <c r="N46" s="197" t="str">
        <f t="shared" si="8"/>
        <v>Nov</v>
      </c>
      <c r="O46" s="197" t="str">
        <f t="shared" si="8"/>
        <v>Dec</v>
      </c>
      <c r="P46" s="212" t="s">
        <v>60</v>
      </c>
    </row>
    <row r="47" spans="1:17" ht="18" customHeight="1" thickBot="1">
      <c r="A47" s="444" t="str">
        <f>IF(ISBLANK('Sales Details'!A6),"",('Sales Details'!A6))</f>
        <v>Test-category-1</v>
      </c>
      <c r="B47" s="214">
        <f>'Sales Details'!D6</f>
        <v>1000</v>
      </c>
      <c r="C47" s="215">
        <f>IF(ISBLANK('Sales Details'!A6),0,IF('Sales Details'!E6&gt;0.01,(100%-'Sales Details'!E6),0))</f>
        <v>9.9999999999999978E-2</v>
      </c>
      <c r="D47" s="443">
        <f>IF(ISBLANK(C47)," ",(C47*D26))</f>
        <v>0</v>
      </c>
      <c r="E47" s="443">
        <f>IF(ISBLANK(C47)," ",(C47*E26))</f>
        <v>0</v>
      </c>
      <c r="F47" s="443">
        <f>IF(ISBLANK(C47)," ",(C47*F26))</f>
        <v>0</v>
      </c>
      <c r="G47" s="443">
        <f>IF(ISBLANK(C47)," ",(C47*G26))</f>
        <v>0</v>
      </c>
      <c r="H47" s="443">
        <f>IF(ISBLANK(C47)," ",(C47*H26))</f>
        <v>0</v>
      </c>
      <c r="I47" s="443">
        <f>IF(ISBLANK(C47)," ",(C47*I26))</f>
        <v>0</v>
      </c>
      <c r="J47" s="443">
        <f>IF(ISBLANK(C47)," ",(C47*J26))</f>
        <v>0</v>
      </c>
      <c r="K47" s="443">
        <f>IF(ISBLANK(C47)," ",(C47*K26))</f>
        <v>0</v>
      </c>
      <c r="L47" s="443">
        <f>IF(ISBLANK(C47)," ",(C47*L26))</f>
        <v>0</v>
      </c>
      <c r="M47" s="443">
        <f>IF(ISBLANK(C47)," ",(C47*M26))</f>
        <v>0</v>
      </c>
      <c r="N47" s="443">
        <f>IF(ISBLANK(C47)," ",(C47*N26))</f>
        <v>0</v>
      </c>
      <c r="O47" s="443">
        <f>IF(ISBLANK(C47)," ",(C47*O26))</f>
        <v>0</v>
      </c>
      <c r="P47" s="445">
        <f t="shared" ref="P47:P61" si="9">SUM(D47:O47)</f>
        <v>0</v>
      </c>
    </row>
    <row r="48" spans="1:17" ht="18" customHeight="1" thickBot="1">
      <c r="A48" s="444" t="str">
        <f>IF(ISBLANK('Sales Details'!A7),"",('Sales Details'!A7))</f>
        <v>Test-category-2</v>
      </c>
      <c r="B48" s="216">
        <f>'Sales Details'!D7</f>
        <v>500</v>
      </c>
      <c r="C48" s="215">
        <f>IF(ISBLANK('Sales Details'!A7),0,IF('Sales Details'!E7&gt;0.01,(100%-'Sales Details'!E7),0))</f>
        <v>9.9999999999999978E-2</v>
      </c>
      <c r="D48" s="443">
        <f>IF(ISBLANK(C48)," ",(C48*D27))</f>
        <v>0</v>
      </c>
      <c r="E48" s="443">
        <f t="shared" ref="E48:E61" si="10">IF(ISBLANK(C48)," ",(C48*E27))</f>
        <v>0</v>
      </c>
      <c r="F48" s="443">
        <f t="shared" ref="F48:F61" si="11">IF(ISBLANK(C48)," ",(C48*F27))</f>
        <v>0</v>
      </c>
      <c r="G48" s="443">
        <f t="shared" ref="G48:G61" si="12">IF(ISBLANK(C48)," ",(C48*G27))</f>
        <v>0</v>
      </c>
      <c r="H48" s="443">
        <f t="shared" ref="H48:H61" si="13">IF(ISBLANK(C48)," ",(C48*H27))</f>
        <v>0</v>
      </c>
      <c r="I48" s="443">
        <f t="shared" ref="I48:I61" si="14">IF(ISBLANK(C48)," ",(C48*I27))</f>
        <v>0</v>
      </c>
      <c r="J48" s="443">
        <f t="shared" ref="J48:J61" si="15">IF(ISBLANK(C48)," ",(C48*J27))</f>
        <v>0</v>
      </c>
      <c r="K48" s="443">
        <f t="shared" ref="K48:K61" si="16">IF(ISBLANK(C48)," ",(C48*K27))</f>
        <v>0</v>
      </c>
      <c r="L48" s="443">
        <f t="shared" ref="L48:L61" si="17">IF(ISBLANK(C48)," ",(C48*L27))</f>
        <v>0</v>
      </c>
      <c r="M48" s="443">
        <f t="shared" ref="M48:M61" si="18">IF(ISBLANK(C48)," ",(C48*M27))</f>
        <v>0</v>
      </c>
      <c r="N48" s="443">
        <f t="shared" ref="N48:N61" si="19">IF(ISBLANK(C48)," ",(C48*N27))</f>
        <v>0</v>
      </c>
      <c r="O48" s="443">
        <f t="shared" ref="O48:O61" si="20">IF(ISBLANK(C48)," ",(C48*O27))</f>
        <v>0</v>
      </c>
      <c r="P48" s="445">
        <f t="shared" si="9"/>
        <v>0</v>
      </c>
    </row>
    <row r="49" spans="1:19" ht="18" customHeight="1" thickBot="1">
      <c r="A49" s="444" t="str">
        <f>IF(ISBLANK('Sales Details'!A8),"",('Sales Details'!A8))</f>
        <v>Test-category-3</v>
      </c>
      <c r="B49" s="216">
        <f>'Sales Details'!D8</f>
        <v>400</v>
      </c>
      <c r="C49" s="215">
        <f>IF(ISBLANK('Sales Details'!A8),0,IF('Sales Details'!E8&gt;0.01,(100%-'Sales Details'!E8),0))</f>
        <v>9.9999999999999978E-2</v>
      </c>
      <c r="D49" s="443">
        <f t="shared" ref="D49:D61" si="21">IF(ISBLANK(C49)," ",(C49*D28))</f>
        <v>0</v>
      </c>
      <c r="E49" s="443">
        <f t="shared" si="10"/>
        <v>0</v>
      </c>
      <c r="F49" s="443">
        <f t="shared" si="11"/>
        <v>0</v>
      </c>
      <c r="G49" s="443">
        <f t="shared" si="12"/>
        <v>0</v>
      </c>
      <c r="H49" s="443">
        <f t="shared" si="13"/>
        <v>0</v>
      </c>
      <c r="I49" s="443">
        <f t="shared" si="14"/>
        <v>0</v>
      </c>
      <c r="J49" s="443">
        <f t="shared" si="15"/>
        <v>0</v>
      </c>
      <c r="K49" s="443">
        <f t="shared" si="16"/>
        <v>0</v>
      </c>
      <c r="L49" s="443">
        <f t="shared" si="17"/>
        <v>0</v>
      </c>
      <c r="M49" s="443">
        <f t="shared" si="18"/>
        <v>0</v>
      </c>
      <c r="N49" s="443">
        <f t="shared" si="19"/>
        <v>0</v>
      </c>
      <c r="O49" s="443">
        <f t="shared" si="20"/>
        <v>0</v>
      </c>
      <c r="P49" s="445">
        <f t="shared" si="9"/>
        <v>0</v>
      </c>
      <c r="S49" s="217"/>
    </row>
    <row r="50" spans="1:19" ht="18" customHeight="1" thickBot="1">
      <c r="A50" s="444" t="str">
        <f>IF(ISBLANK('Sales Details'!A9),"",('Sales Details'!A9))</f>
        <v/>
      </c>
      <c r="B50" s="216">
        <f>'Sales Details'!D9</f>
        <v>0</v>
      </c>
      <c r="C50" s="215">
        <f>IF(ISBLANK('Sales Details'!A9),0,IF('Sales Details'!E9&gt;0.01,(100%-'Sales Details'!E9),0))</f>
        <v>0</v>
      </c>
      <c r="D50" s="443">
        <f t="shared" si="21"/>
        <v>0</v>
      </c>
      <c r="E50" s="443">
        <f t="shared" si="10"/>
        <v>0</v>
      </c>
      <c r="F50" s="443">
        <f t="shared" si="11"/>
        <v>0</v>
      </c>
      <c r="G50" s="443">
        <f t="shared" si="12"/>
        <v>0</v>
      </c>
      <c r="H50" s="443">
        <f t="shared" si="13"/>
        <v>0</v>
      </c>
      <c r="I50" s="443">
        <f t="shared" si="14"/>
        <v>0</v>
      </c>
      <c r="J50" s="443">
        <f t="shared" si="15"/>
        <v>0</v>
      </c>
      <c r="K50" s="443">
        <f t="shared" si="16"/>
        <v>0</v>
      </c>
      <c r="L50" s="443">
        <f t="shared" si="17"/>
        <v>0</v>
      </c>
      <c r="M50" s="443">
        <f t="shared" si="18"/>
        <v>0</v>
      </c>
      <c r="N50" s="443">
        <f t="shared" si="19"/>
        <v>0</v>
      </c>
      <c r="O50" s="443">
        <f t="shared" si="20"/>
        <v>0</v>
      </c>
      <c r="P50" s="445">
        <f t="shared" si="9"/>
        <v>0</v>
      </c>
    </row>
    <row r="51" spans="1:19" ht="18" customHeight="1" thickBot="1">
      <c r="A51" s="444" t="str">
        <f>IF(ISBLANK('Sales Details'!A10),"",('Sales Details'!A10))</f>
        <v/>
      </c>
      <c r="B51" s="216">
        <f>'Sales Details'!D10</f>
        <v>0</v>
      </c>
      <c r="C51" s="215">
        <f>IF(ISBLANK('Sales Details'!A10),0,IF('Sales Details'!E10&gt;0.01,(100%-'Sales Details'!E10),0))</f>
        <v>0</v>
      </c>
      <c r="D51" s="443">
        <f t="shared" si="21"/>
        <v>0</v>
      </c>
      <c r="E51" s="443">
        <f t="shared" si="10"/>
        <v>0</v>
      </c>
      <c r="F51" s="443">
        <f t="shared" si="11"/>
        <v>0</v>
      </c>
      <c r="G51" s="443">
        <f t="shared" si="12"/>
        <v>0</v>
      </c>
      <c r="H51" s="443">
        <f t="shared" si="13"/>
        <v>0</v>
      </c>
      <c r="I51" s="443">
        <f t="shared" si="14"/>
        <v>0</v>
      </c>
      <c r="J51" s="443">
        <f t="shared" si="15"/>
        <v>0</v>
      </c>
      <c r="K51" s="443">
        <f t="shared" si="16"/>
        <v>0</v>
      </c>
      <c r="L51" s="443">
        <f t="shared" si="17"/>
        <v>0</v>
      </c>
      <c r="M51" s="443">
        <f t="shared" si="18"/>
        <v>0</v>
      </c>
      <c r="N51" s="443">
        <f t="shared" si="19"/>
        <v>0</v>
      </c>
      <c r="O51" s="443">
        <f t="shared" si="20"/>
        <v>0</v>
      </c>
      <c r="P51" s="445">
        <f t="shared" si="9"/>
        <v>0</v>
      </c>
    </row>
    <row r="52" spans="1:19" ht="18" customHeight="1" thickBot="1">
      <c r="A52" s="444" t="str">
        <f>IF(ISBLANK('Sales Details'!A11),"",('Sales Details'!A11))</f>
        <v/>
      </c>
      <c r="B52" s="216">
        <f>'Sales Details'!D11</f>
        <v>0</v>
      </c>
      <c r="C52" s="215">
        <f>IF(ISBLANK('Sales Details'!A11),0,IF('Sales Details'!E11&gt;0.01,(100%-'Sales Details'!E11),0))</f>
        <v>0</v>
      </c>
      <c r="D52" s="443">
        <f t="shared" si="21"/>
        <v>0</v>
      </c>
      <c r="E52" s="443">
        <f t="shared" si="10"/>
        <v>0</v>
      </c>
      <c r="F52" s="443">
        <f t="shared" si="11"/>
        <v>0</v>
      </c>
      <c r="G52" s="443">
        <f t="shared" si="12"/>
        <v>0</v>
      </c>
      <c r="H52" s="443">
        <f t="shared" si="13"/>
        <v>0</v>
      </c>
      <c r="I52" s="443">
        <f t="shared" si="14"/>
        <v>0</v>
      </c>
      <c r="J52" s="443">
        <f t="shared" si="15"/>
        <v>0</v>
      </c>
      <c r="K52" s="443">
        <f t="shared" si="16"/>
        <v>0</v>
      </c>
      <c r="L52" s="443">
        <f t="shared" si="17"/>
        <v>0</v>
      </c>
      <c r="M52" s="443">
        <f t="shared" si="18"/>
        <v>0</v>
      </c>
      <c r="N52" s="443">
        <f t="shared" si="19"/>
        <v>0</v>
      </c>
      <c r="O52" s="443">
        <f t="shared" si="20"/>
        <v>0</v>
      </c>
      <c r="P52" s="445">
        <f t="shared" si="9"/>
        <v>0</v>
      </c>
    </row>
    <row r="53" spans="1:19" ht="18" customHeight="1" thickBot="1">
      <c r="A53" s="444" t="str">
        <f>IF(ISBLANK('Sales Details'!A12),"",('Sales Details'!A12))</f>
        <v/>
      </c>
      <c r="B53" s="216">
        <f>'Sales Details'!D12</f>
        <v>0</v>
      </c>
      <c r="C53" s="215">
        <f>IF(ISBLANK('Sales Details'!A12),0,IF('Sales Details'!E12&gt;0.01,(100%-'Sales Details'!E12),0))</f>
        <v>0</v>
      </c>
      <c r="D53" s="443">
        <f t="shared" si="21"/>
        <v>0</v>
      </c>
      <c r="E53" s="443">
        <v>5</v>
      </c>
      <c r="F53" s="443">
        <f t="shared" si="11"/>
        <v>0</v>
      </c>
      <c r="G53" s="443">
        <f t="shared" si="12"/>
        <v>0</v>
      </c>
      <c r="H53" s="443">
        <f t="shared" si="13"/>
        <v>0</v>
      </c>
      <c r="I53" s="443">
        <f t="shared" si="14"/>
        <v>0</v>
      </c>
      <c r="J53" s="443">
        <f t="shared" si="15"/>
        <v>0</v>
      </c>
      <c r="K53" s="443">
        <f t="shared" si="16"/>
        <v>0</v>
      </c>
      <c r="L53" s="443">
        <f t="shared" si="17"/>
        <v>0</v>
      </c>
      <c r="M53" s="443">
        <f t="shared" si="18"/>
        <v>0</v>
      </c>
      <c r="N53" s="443">
        <f t="shared" si="19"/>
        <v>0</v>
      </c>
      <c r="O53" s="443">
        <f t="shared" si="20"/>
        <v>0</v>
      </c>
      <c r="P53" s="445">
        <f t="shared" si="9"/>
        <v>5</v>
      </c>
      <c r="S53" s="218"/>
    </row>
    <row r="54" spans="1:19" ht="18" customHeight="1" thickBot="1">
      <c r="A54" s="444" t="str">
        <f>IF(ISBLANK('Sales Details'!A13),"",('Sales Details'!A13))</f>
        <v/>
      </c>
      <c r="B54" s="216">
        <f>'Sales Details'!D13</f>
        <v>0</v>
      </c>
      <c r="C54" s="215">
        <f>IF(ISBLANK('Sales Details'!A13),0,IF('Sales Details'!E13&gt;0.01,(100%-'Sales Details'!E13),0))</f>
        <v>0</v>
      </c>
      <c r="D54" s="443">
        <f t="shared" si="21"/>
        <v>0</v>
      </c>
      <c r="E54" s="443">
        <f t="shared" si="10"/>
        <v>0</v>
      </c>
      <c r="F54" s="443">
        <f t="shared" si="11"/>
        <v>0</v>
      </c>
      <c r="G54" s="443">
        <f t="shared" si="12"/>
        <v>0</v>
      </c>
      <c r="H54" s="443">
        <f t="shared" si="13"/>
        <v>0</v>
      </c>
      <c r="I54" s="443">
        <f t="shared" si="14"/>
        <v>0</v>
      </c>
      <c r="J54" s="443">
        <f t="shared" si="15"/>
        <v>0</v>
      </c>
      <c r="K54" s="443">
        <f t="shared" si="16"/>
        <v>0</v>
      </c>
      <c r="L54" s="443">
        <f t="shared" si="17"/>
        <v>0</v>
      </c>
      <c r="M54" s="443">
        <f t="shared" si="18"/>
        <v>0</v>
      </c>
      <c r="N54" s="443">
        <f t="shared" si="19"/>
        <v>0</v>
      </c>
      <c r="O54" s="443">
        <f t="shared" si="20"/>
        <v>0</v>
      </c>
      <c r="P54" s="445">
        <f t="shared" si="9"/>
        <v>0</v>
      </c>
    </row>
    <row r="55" spans="1:19" ht="18" customHeight="1" thickBot="1">
      <c r="A55" s="444" t="str">
        <f>IF(ISBLANK('Sales Details'!A14),"",('Sales Details'!A14))</f>
        <v/>
      </c>
      <c r="B55" s="216">
        <f>'Sales Details'!D14</f>
        <v>0</v>
      </c>
      <c r="C55" s="215">
        <f>IF(ISBLANK('Sales Details'!A14),0,IF('Sales Details'!E14&gt;0.01,(100%-'Sales Details'!E14),0))</f>
        <v>0</v>
      </c>
      <c r="D55" s="443">
        <f t="shared" si="21"/>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3">
        <f t="shared" si="20"/>
        <v>0</v>
      </c>
      <c r="P55" s="445">
        <f t="shared" si="9"/>
        <v>0</v>
      </c>
    </row>
    <row r="56" spans="1:19" ht="18" customHeight="1" thickBot="1">
      <c r="A56" s="444" t="str">
        <f>IF(ISBLANK('Sales Details'!A15),"",('Sales Details'!A15))</f>
        <v/>
      </c>
      <c r="B56" s="216">
        <f>'Sales Details'!D15</f>
        <v>0</v>
      </c>
      <c r="C56" s="215">
        <f>IF(ISBLANK('Sales Details'!A15),0,IF('Sales Details'!E15&gt;0.01,(100%-'Sales Details'!E15),0))</f>
        <v>0</v>
      </c>
      <c r="D56" s="443">
        <f t="shared" si="21"/>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3">
        <f t="shared" si="20"/>
        <v>0</v>
      </c>
      <c r="P56" s="445">
        <f t="shared" si="9"/>
        <v>0</v>
      </c>
    </row>
    <row r="57" spans="1:19" ht="18" customHeight="1" thickBot="1">
      <c r="A57" s="444" t="str">
        <f>IF(ISBLANK('Sales Details'!A16),"",('Sales Details'!A16))</f>
        <v/>
      </c>
      <c r="B57" s="216">
        <f>'Sales Details'!D16</f>
        <v>0</v>
      </c>
      <c r="C57" s="215">
        <f>IF(ISBLANK('Sales Details'!A16),0,IF('Sales Details'!E16&gt;0.01,(100%-'Sales Details'!E16),0))</f>
        <v>0</v>
      </c>
      <c r="D57" s="443">
        <f t="shared" si="21"/>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3">
        <f t="shared" si="20"/>
        <v>0</v>
      </c>
      <c r="P57" s="445">
        <f t="shared" si="9"/>
        <v>0</v>
      </c>
    </row>
    <row r="58" spans="1:19" ht="18" customHeight="1" thickBot="1">
      <c r="A58" s="444" t="str">
        <f>IF(ISBLANK('Sales Details'!A17),"",('Sales Details'!A17))</f>
        <v/>
      </c>
      <c r="B58" s="216">
        <f>'Sales Details'!D17</f>
        <v>0</v>
      </c>
      <c r="C58" s="215">
        <f>IF(ISBLANK('Sales Details'!A17),0,IF('Sales Details'!E17&gt;0.01,(100%-'Sales Details'!E17),0))</f>
        <v>0</v>
      </c>
      <c r="D58" s="443">
        <f t="shared" si="21"/>
        <v>0</v>
      </c>
      <c r="E58" s="443">
        <v>5</v>
      </c>
      <c r="F58" s="443">
        <f t="shared" si="11"/>
        <v>0</v>
      </c>
      <c r="G58" s="443">
        <f t="shared" si="12"/>
        <v>0</v>
      </c>
      <c r="H58" s="443">
        <f t="shared" si="13"/>
        <v>0</v>
      </c>
      <c r="I58" s="443">
        <f t="shared" si="14"/>
        <v>0</v>
      </c>
      <c r="J58" s="443">
        <f t="shared" si="15"/>
        <v>0</v>
      </c>
      <c r="K58" s="443">
        <f t="shared" si="16"/>
        <v>0</v>
      </c>
      <c r="L58" s="443">
        <f t="shared" si="17"/>
        <v>0</v>
      </c>
      <c r="M58" s="443">
        <f t="shared" si="18"/>
        <v>0</v>
      </c>
      <c r="N58" s="443">
        <f t="shared" si="19"/>
        <v>0</v>
      </c>
      <c r="O58" s="443">
        <f t="shared" si="20"/>
        <v>0</v>
      </c>
      <c r="P58" s="445">
        <f t="shared" si="9"/>
        <v>5</v>
      </c>
    </row>
    <row r="59" spans="1:19" ht="18" customHeight="1" thickBot="1">
      <c r="A59" s="444" t="str">
        <f>IF(ISBLANK('Sales Details'!A18),"",('Sales Details'!A18))</f>
        <v/>
      </c>
      <c r="B59" s="216">
        <f>'Sales Details'!D18</f>
        <v>0</v>
      </c>
      <c r="C59" s="215">
        <f>IF(ISBLANK('Sales Details'!A18),0,IF('Sales Details'!E18&gt;0.01,(100%-'Sales Details'!E18),0))</f>
        <v>0</v>
      </c>
      <c r="D59" s="443">
        <f t="shared" si="21"/>
        <v>0</v>
      </c>
      <c r="E59" s="443">
        <f t="shared" si="10"/>
        <v>0</v>
      </c>
      <c r="F59" s="443">
        <f t="shared" si="11"/>
        <v>0</v>
      </c>
      <c r="G59" s="443">
        <f t="shared" si="12"/>
        <v>0</v>
      </c>
      <c r="H59" s="443">
        <f t="shared" si="13"/>
        <v>0</v>
      </c>
      <c r="I59" s="443">
        <f t="shared" si="14"/>
        <v>0</v>
      </c>
      <c r="J59" s="443">
        <f t="shared" si="15"/>
        <v>0</v>
      </c>
      <c r="K59" s="443">
        <f t="shared" si="16"/>
        <v>0</v>
      </c>
      <c r="L59" s="443">
        <f t="shared" si="17"/>
        <v>0</v>
      </c>
      <c r="M59" s="443">
        <f t="shared" si="18"/>
        <v>0</v>
      </c>
      <c r="N59" s="443">
        <f t="shared" si="19"/>
        <v>0</v>
      </c>
      <c r="O59" s="443">
        <f t="shared" si="20"/>
        <v>0</v>
      </c>
      <c r="P59" s="445">
        <f t="shared" si="9"/>
        <v>0</v>
      </c>
    </row>
    <row r="60" spans="1:19" ht="18" customHeight="1" thickBot="1">
      <c r="A60" s="444" t="str">
        <f>IF(ISBLANK('Sales Details'!A19),"",('Sales Details'!A19))</f>
        <v/>
      </c>
      <c r="B60" s="216">
        <f>'Sales Details'!D19</f>
        <v>0</v>
      </c>
      <c r="C60" s="215">
        <f>IF(ISBLANK('Sales Details'!A19),0,IF('Sales Details'!E19&gt;0.01,(100%-'Sales Details'!E19),0))</f>
        <v>0</v>
      </c>
      <c r="D60" s="443">
        <f t="shared" si="21"/>
        <v>0</v>
      </c>
      <c r="E60" s="443">
        <f t="shared" si="10"/>
        <v>0</v>
      </c>
      <c r="F60" s="443">
        <f t="shared" si="11"/>
        <v>0</v>
      </c>
      <c r="G60" s="443">
        <f t="shared" si="12"/>
        <v>0</v>
      </c>
      <c r="H60" s="443">
        <f t="shared" si="13"/>
        <v>0</v>
      </c>
      <c r="I60" s="443">
        <f t="shared" si="14"/>
        <v>0</v>
      </c>
      <c r="J60" s="443">
        <f t="shared" si="15"/>
        <v>0</v>
      </c>
      <c r="K60" s="443">
        <f t="shared" si="16"/>
        <v>0</v>
      </c>
      <c r="L60" s="443">
        <f t="shared" si="17"/>
        <v>0</v>
      </c>
      <c r="M60" s="443">
        <f t="shared" si="18"/>
        <v>0</v>
      </c>
      <c r="N60" s="443">
        <f t="shared" si="19"/>
        <v>0</v>
      </c>
      <c r="O60" s="443">
        <f t="shared" si="20"/>
        <v>0</v>
      </c>
      <c r="P60" s="445">
        <f t="shared" si="9"/>
        <v>0</v>
      </c>
    </row>
    <row r="61" spans="1:19" ht="18" customHeight="1" thickBot="1">
      <c r="A61" s="444" t="str">
        <f>IF(ISBLANK('Sales Details'!A20),"",('Sales Details'!A20))</f>
        <v/>
      </c>
      <c r="B61" s="219">
        <f>'Sales Details'!D20</f>
        <v>0</v>
      </c>
      <c r="C61" s="215">
        <f>IF(ISBLANK('Sales Details'!A20),0,IF('Sales Details'!E20&gt;0.01,(100%-'Sales Details'!E20),0))</f>
        <v>0</v>
      </c>
      <c r="D61" s="443">
        <f t="shared" si="21"/>
        <v>0</v>
      </c>
      <c r="E61" s="443">
        <f t="shared" si="10"/>
        <v>0</v>
      </c>
      <c r="F61" s="443">
        <f t="shared" si="11"/>
        <v>0</v>
      </c>
      <c r="G61" s="443">
        <f t="shared" si="12"/>
        <v>0</v>
      </c>
      <c r="H61" s="443">
        <f t="shared" si="13"/>
        <v>0</v>
      </c>
      <c r="I61" s="443">
        <f t="shared" si="14"/>
        <v>0</v>
      </c>
      <c r="J61" s="443">
        <f t="shared" si="15"/>
        <v>0</v>
      </c>
      <c r="K61" s="443">
        <f t="shared" si="16"/>
        <v>0</v>
      </c>
      <c r="L61" s="443">
        <f t="shared" si="17"/>
        <v>0</v>
      </c>
      <c r="M61" s="443">
        <f t="shared" si="18"/>
        <v>0</v>
      </c>
      <c r="N61" s="443">
        <f t="shared" si="19"/>
        <v>0</v>
      </c>
      <c r="O61" s="443">
        <f t="shared" si="20"/>
        <v>0</v>
      </c>
      <c r="P61" s="445">
        <f t="shared" si="9"/>
        <v>0</v>
      </c>
    </row>
    <row r="62" spans="1:19" ht="34.5" customHeight="1" thickBot="1">
      <c r="A62" s="676" t="s">
        <v>242</v>
      </c>
      <c r="B62" s="676"/>
      <c r="C62" s="676"/>
      <c r="D62" s="445">
        <f t="shared" ref="D62:P62" si="22">SUM(D47:D61)</f>
        <v>0</v>
      </c>
      <c r="E62" s="445">
        <f t="shared" si="22"/>
        <v>10</v>
      </c>
      <c r="F62" s="445">
        <f t="shared" si="22"/>
        <v>0</v>
      </c>
      <c r="G62" s="445">
        <f t="shared" si="22"/>
        <v>0</v>
      </c>
      <c r="H62" s="445">
        <f t="shared" si="22"/>
        <v>0</v>
      </c>
      <c r="I62" s="445">
        <f t="shared" si="22"/>
        <v>0</v>
      </c>
      <c r="J62" s="445">
        <f t="shared" si="22"/>
        <v>0</v>
      </c>
      <c r="K62" s="445">
        <f t="shared" si="22"/>
        <v>0</v>
      </c>
      <c r="L62" s="445">
        <f t="shared" si="22"/>
        <v>0</v>
      </c>
      <c r="M62" s="445">
        <f t="shared" si="22"/>
        <v>0</v>
      </c>
      <c r="N62" s="445">
        <f t="shared" si="22"/>
        <v>0</v>
      </c>
      <c r="O62" s="445">
        <f t="shared" si="22"/>
        <v>0</v>
      </c>
      <c r="P62" s="445">
        <f t="shared" si="22"/>
        <v>10</v>
      </c>
    </row>
    <row r="63" spans="1:19" ht="15" customHeight="1">
      <c r="A63" s="220"/>
      <c r="B63" s="220"/>
      <c r="C63" s="220"/>
      <c r="D63" s="221"/>
      <c r="E63" s="221"/>
      <c r="F63" s="221"/>
      <c r="G63" s="221"/>
      <c r="H63" s="221"/>
      <c r="I63" s="221"/>
      <c r="J63" s="221"/>
      <c r="K63" s="221"/>
      <c r="L63" s="221"/>
      <c r="M63" s="221"/>
      <c r="N63" s="221"/>
      <c r="O63" s="221"/>
      <c r="P63" s="221"/>
    </row>
    <row r="64" spans="1:19" ht="40.5" customHeight="1">
      <c r="A64" s="675" t="s">
        <v>243</v>
      </c>
      <c r="B64" s="675"/>
      <c r="C64" s="675"/>
      <c r="D64" s="675"/>
      <c r="E64" s="675"/>
      <c r="F64" s="675"/>
      <c r="G64" s="675"/>
      <c r="H64" s="675"/>
      <c r="I64" s="675"/>
      <c r="J64" s="675"/>
      <c r="K64" s="675"/>
      <c r="L64" s="675"/>
      <c r="M64" s="675"/>
      <c r="N64" s="675"/>
      <c r="O64" s="675"/>
      <c r="P64" s="675"/>
    </row>
    <row r="65" spans="1:16" ht="36" customHeight="1" thickBot="1">
      <c r="A65" s="667" t="s">
        <v>244</v>
      </c>
      <c r="B65" s="667"/>
      <c r="C65" s="673" t="s">
        <v>245</v>
      </c>
      <c r="D65" s="673"/>
      <c r="E65" s="673"/>
      <c r="F65" s="673"/>
      <c r="G65" s="673"/>
      <c r="H65" s="673"/>
      <c r="I65" s="673"/>
      <c r="J65" s="673"/>
      <c r="K65" s="673"/>
      <c r="L65" s="673"/>
      <c r="M65" s="673"/>
      <c r="N65" s="673"/>
      <c r="O65" s="673"/>
      <c r="P65" s="673"/>
    </row>
    <row r="66" spans="1:16" ht="18" customHeight="1" thickBot="1">
      <c r="A66" s="670" t="s">
        <v>246</v>
      </c>
      <c r="B66" s="670"/>
      <c r="C66" s="223"/>
      <c r="D66" s="443">
        <f t="shared" ref="D66:O66" si="23">D62</f>
        <v>0</v>
      </c>
      <c r="E66" s="443">
        <f t="shared" si="23"/>
        <v>10</v>
      </c>
      <c r="F66" s="443">
        <f t="shared" si="23"/>
        <v>0</v>
      </c>
      <c r="G66" s="443">
        <f t="shared" si="23"/>
        <v>0</v>
      </c>
      <c r="H66" s="443">
        <f t="shared" si="23"/>
        <v>0</v>
      </c>
      <c r="I66" s="443">
        <f t="shared" si="23"/>
        <v>0</v>
      </c>
      <c r="J66" s="443">
        <f t="shared" si="23"/>
        <v>0</v>
      </c>
      <c r="K66" s="443">
        <f t="shared" si="23"/>
        <v>0</v>
      </c>
      <c r="L66" s="443">
        <f t="shared" si="23"/>
        <v>0</v>
      </c>
      <c r="M66" s="443">
        <f t="shared" si="23"/>
        <v>0</v>
      </c>
      <c r="N66" s="443">
        <f t="shared" si="23"/>
        <v>0</v>
      </c>
      <c r="O66" s="443">
        <f t="shared" si="23"/>
        <v>0</v>
      </c>
      <c r="P66" s="445">
        <f t="shared" ref="P66:P74" si="24">SUM(D66:O66)</f>
        <v>10</v>
      </c>
    </row>
    <row r="67" spans="1:16" ht="18" customHeight="1" thickBot="1">
      <c r="A67" s="583"/>
      <c r="B67" s="583"/>
      <c r="C67" s="223"/>
      <c r="D67" s="443"/>
      <c r="E67" s="443"/>
      <c r="F67" s="443"/>
      <c r="G67" s="443"/>
      <c r="H67" s="443"/>
      <c r="I67" s="443"/>
      <c r="J67" s="443"/>
      <c r="K67" s="443"/>
      <c r="L67" s="443"/>
      <c r="M67" s="443"/>
      <c r="N67" s="443"/>
      <c r="O67" s="443"/>
      <c r="P67" s="445">
        <f t="shared" si="24"/>
        <v>0</v>
      </c>
    </row>
    <row r="68" spans="1:16" ht="18" customHeight="1" thickBot="1">
      <c r="A68" s="583"/>
      <c r="B68" s="583"/>
      <c r="C68" s="223"/>
      <c r="D68" s="443"/>
      <c r="E68" s="443"/>
      <c r="F68" s="443"/>
      <c r="G68" s="443"/>
      <c r="H68" s="443"/>
      <c r="I68" s="443"/>
      <c r="J68" s="443"/>
      <c r="K68" s="443"/>
      <c r="L68" s="443"/>
      <c r="M68" s="443"/>
      <c r="N68" s="443"/>
      <c r="O68" s="443"/>
      <c r="P68" s="445">
        <f t="shared" si="24"/>
        <v>0</v>
      </c>
    </row>
    <row r="69" spans="1:16" ht="18" customHeight="1" thickBot="1">
      <c r="A69" s="583"/>
      <c r="B69" s="583"/>
      <c r="C69" s="223"/>
      <c r="D69" s="443"/>
      <c r="E69" s="443"/>
      <c r="F69" s="443"/>
      <c r="G69" s="443"/>
      <c r="H69" s="443"/>
      <c r="I69" s="443"/>
      <c r="J69" s="443"/>
      <c r="K69" s="443"/>
      <c r="L69" s="443"/>
      <c r="M69" s="443"/>
      <c r="N69" s="443"/>
      <c r="O69" s="443"/>
      <c r="P69" s="445">
        <f t="shared" si="24"/>
        <v>0</v>
      </c>
    </row>
    <row r="70" spans="1:16" ht="18" customHeight="1" thickBot="1">
      <c r="A70" s="583"/>
      <c r="B70" s="583"/>
      <c r="C70" s="223"/>
      <c r="D70" s="443"/>
      <c r="E70" s="443"/>
      <c r="F70" s="443"/>
      <c r="G70" s="443"/>
      <c r="H70" s="443"/>
      <c r="I70" s="443"/>
      <c r="J70" s="443"/>
      <c r="K70" s="443"/>
      <c r="L70" s="443"/>
      <c r="M70" s="443"/>
      <c r="N70" s="443"/>
      <c r="O70" s="443"/>
      <c r="P70" s="445">
        <f t="shared" si="24"/>
        <v>0</v>
      </c>
    </row>
    <row r="71" spans="1:16" ht="18" customHeight="1" thickBot="1">
      <c r="A71" s="583"/>
      <c r="B71" s="583"/>
      <c r="C71" s="223"/>
      <c r="D71" s="443"/>
      <c r="E71" s="443"/>
      <c r="F71" s="443"/>
      <c r="G71" s="443"/>
      <c r="H71" s="443"/>
      <c r="I71" s="443"/>
      <c r="J71" s="443"/>
      <c r="K71" s="443"/>
      <c r="L71" s="443"/>
      <c r="M71" s="443"/>
      <c r="N71" s="443"/>
      <c r="O71" s="443"/>
      <c r="P71" s="445">
        <f t="shared" si="24"/>
        <v>0</v>
      </c>
    </row>
    <row r="72" spans="1:16" ht="18" customHeight="1" thickBot="1">
      <c r="A72" s="583"/>
      <c r="B72" s="583"/>
      <c r="C72" s="223"/>
      <c r="D72" s="443"/>
      <c r="E72" s="443"/>
      <c r="F72" s="443"/>
      <c r="G72" s="443"/>
      <c r="H72" s="443"/>
      <c r="I72" s="443"/>
      <c r="J72" s="443"/>
      <c r="K72" s="443"/>
      <c r="L72" s="443"/>
      <c r="M72" s="443"/>
      <c r="N72" s="443"/>
      <c r="O72" s="443"/>
      <c r="P72" s="445">
        <f t="shared" si="24"/>
        <v>0</v>
      </c>
    </row>
    <row r="73" spans="1:16" ht="18" customHeight="1" thickBot="1">
      <c r="A73" s="583"/>
      <c r="B73" s="583"/>
      <c r="C73" s="223"/>
      <c r="D73" s="443"/>
      <c r="E73" s="443"/>
      <c r="F73" s="443"/>
      <c r="G73" s="443"/>
      <c r="H73" s="443"/>
      <c r="I73" s="443"/>
      <c r="J73" s="443"/>
      <c r="K73" s="443"/>
      <c r="L73" s="443"/>
      <c r="M73" s="443"/>
      <c r="N73" s="443"/>
      <c r="O73" s="443"/>
      <c r="P73" s="445">
        <f t="shared" si="24"/>
        <v>0</v>
      </c>
    </row>
    <row r="74" spans="1:16" ht="18" customHeight="1" thickBot="1">
      <c r="A74" s="583"/>
      <c r="B74" s="583"/>
      <c r="C74" s="223"/>
      <c r="D74" s="443"/>
      <c r="E74" s="443"/>
      <c r="F74" s="443"/>
      <c r="G74" s="443"/>
      <c r="H74" s="443"/>
      <c r="I74" s="443"/>
      <c r="J74" s="443"/>
      <c r="K74" s="443"/>
      <c r="L74" s="443"/>
      <c r="M74" s="443"/>
      <c r="N74" s="443"/>
      <c r="O74" s="443"/>
      <c r="P74" s="445">
        <f t="shared" si="24"/>
        <v>0</v>
      </c>
    </row>
    <row r="75" spans="1:16" ht="25.15" customHeight="1" thickBot="1">
      <c r="A75" s="671" t="s">
        <v>461</v>
      </c>
      <c r="B75" s="671"/>
      <c r="C75" s="671"/>
      <c r="D75" s="445">
        <f>SUM(D66:D74)</f>
        <v>0</v>
      </c>
      <c r="E75" s="445">
        <f t="shared" ref="E75:P75" si="25">SUM(E66:E74)</f>
        <v>10</v>
      </c>
      <c r="F75" s="445">
        <f t="shared" si="25"/>
        <v>0</v>
      </c>
      <c r="G75" s="445">
        <f t="shared" si="25"/>
        <v>0</v>
      </c>
      <c r="H75" s="445">
        <f t="shared" si="25"/>
        <v>0</v>
      </c>
      <c r="I75" s="445">
        <f t="shared" si="25"/>
        <v>0</v>
      </c>
      <c r="J75" s="445">
        <f t="shared" si="25"/>
        <v>0</v>
      </c>
      <c r="K75" s="445">
        <f t="shared" si="25"/>
        <v>0</v>
      </c>
      <c r="L75" s="445">
        <f t="shared" si="25"/>
        <v>0</v>
      </c>
      <c r="M75" s="445">
        <f t="shared" si="25"/>
        <v>0</v>
      </c>
      <c r="N75" s="445">
        <f t="shared" si="25"/>
        <v>0</v>
      </c>
      <c r="O75" s="445">
        <f t="shared" si="25"/>
        <v>0</v>
      </c>
      <c r="P75" s="445">
        <f t="shared" si="25"/>
        <v>10</v>
      </c>
    </row>
    <row r="76" spans="1:16" ht="15" customHeight="1">
      <c r="A76" s="224"/>
      <c r="B76" s="224"/>
      <c r="C76" s="224"/>
      <c r="D76" s="225"/>
      <c r="E76" s="225"/>
      <c r="F76" s="225"/>
      <c r="G76" s="225"/>
      <c r="H76" s="225"/>
      <c r="I76" s="225"/>
      <c r="J76" s="225"/>
      <c r="K76" s="225"/>
      <c r="L76" s="225"/>
      <c r="M76" s="225"/>
      <c r="N76" s="225"/>
      <c r="O76" s="225"/>
      <c r="P76" s="225"/>
    </row>
    <row r="77" spans="1:16" ht="25.15" customHeight="1">
      <c r="A77" s="672" t="s">
        <v>248</v>
      </c>
      <c r="B77" s="672"/>
      <c r="C77" s="672"/>
      <c r="D77" s="443">
        <f>IF(SUM($C$47:$C$61)=0,"n/a",('Assets and Depreciation'!$B$18+D75-D62))</f>
        <v>0</v>
      </c>
      <c r="E77" s="443">
        <f>IF(SUM($C$47:$C$61)=0,"n/a",(D77+E75-E62))</f>
        <v>0</v>
      </c>
      <c r="F77" s="443">
        <f t="shared" ref="F77:O77" si="26">IF(SUM($C$47:$C$61)=0,"n/a",(E77+F75-F62))</f>
        <v>0</v>
      </c>
      <c r="G77" s="443">
        <f>IF(SUM($C$47:$C$61)=0,"n/a",(F77+G75-G62))</f>
        <v>0</v>
      </c>
      <c r="H77" s="443">
        <f t="shared" si="26"/>
        <v>0</v>
      </c>
      <c r="I77" s="443">
        <f t="shared" si="26"/>
        <v>0</v>
      </c>
      <c r="J77" s="443">
        <f t="shared" si="26"/>
        <v>0</v>
      </c>
      <c r="K77" s="443">
        <f t="shared" si="26"/>
        <v>0</v>
      </c>
      <c r="L77" s="443">
        <f t="shared" si="26"/>
        <v>0</v>
      </c>
      <c r="M77" s="443">
        <f>IF(SUM($C$47:$C$61)=0,"n/a",(L77+M75-M62))</f>
        <v>0</v>
      </c>
      <c r="N77" s="443">
        <f t="shared" si="26"/>
        <v>0</v>
      </c>
      <c r="O77" s="443">
        <f t="shared" si="26"/>
        <v>0</v>
      </c>
      <c r="P77" s="39"/>
    </row>
    <row r="78" spans="1:16" ht="15.75">
      <c r="D78" s="669" t="str">
        <f>IF(SUM($C$47:$C$61)=0," ",IF(OR(D77&lt;0,D77&lt;0,E77&lt;0,F77&lt;0,G77&lt;0,H77&lt;0,I77&lt;0,J77&lt;0,K77&lt;0,L77&lt;0,M77&lt;0,N77&lt;0),"More stock needs to be purchased"," "))</f>
        <v xml:space="preserve"> </v>
      </c>
      <c r="E78" s="669"/>
      <c r="F78" s="669"/>
      <c r="G78" s="669"/>
      <c r="H78" s="669"/>
      <c r="I78" s="669"/>
      <c r="J78" s="669"/>
      <c r="K78" s="669"/>
      <c r="L78" s="669"/>
      <c r="M78" s="669"/>
      <c r="N78" s="669"/>
      <c r="O78" s="669"/>
    </row>
  </sheetData>
  <mergeCells count="42">
    <mergeCell ref="A77:C77"/>
    <mergeCell ref="D78:O78"/>
    <mergeCell ref="A70:B70"/>
    <mergeCell ref="A71:B71"/>
    <mergeCell ref="A72:B72"/>
    <mergeCell ref="A73:B73"/>
    <mergeCell ref="A74:B74"/>
    <mergeCell ref="A75:C75"/>
    <mergeCell ref="A21:B21"/>
    <mergeCell ref="A69:B69"/>
    <mergeCell ref="A23:C23"/>
    <mergeCell ref="A41:C41"/>
    <mergeCell ref="A43:C43"/>
    <mergeCell ref="A45:P45"/>
    <mergeCell ref="A62:C62"/>
    <mergeCell ref="A64:P64"/>
    <mergeCell ref="A65:B65"/>
    <mergeCell ref="C65:P65"/>
    <mergeCell ref="A66:B66"/>
    <mergeCell ref="A67:B67"/>
    <mergeCell ref="A68:B68"/>
    <mergeCell ref="A16:B16"/>
    <mergeCell ref="A17:B17"/>
    <mergeCell ref="A18:B18"/>
    <mergeCell ref="A19:B19"/>
    <mergeCell ref="A20:B20"/>
    <mergeCell ref="A1:B1"/>
    <mergeCell ref="C1:Q1"/>
    <mergeCell ref="A2:Q2"/>
    <mergeCell ref="A3:Q5"/>
    <mergeCell ref="A6:B7"/>
    <mergeCell ref="C6:C22"/>
    <mergeCell ref="D7:Q7"/>
    <mergeCell ref="A8:B8"/>
    <mergeCell ref="A9:B9"/>
    <mergeCell ref="A10:B10"/>
    <mergeCell ref="A22:B22"/>
    <mergeCell ref="A11:B11"/>
    <mergeCell ref="A12:B12"/>
    <mergeCell ref="A13:B13"/>
    <mergeCell ref="A14:B14"/>
    <mergeCell ref="A15:B15"/>
  </mergeCells>
  <conditionalFormatting sqref="D77:O77">
    <cfRule type="cellIs" dxfId="5" priority="1" stopIfTrue="1" operator="lessThan">
      <formula>1</formula>
    </cfRule>
  </conditionalFormatting>
  <dataValidations count="3">
    <dataValidation type="list" allowBlank="1" showInputMessage="1" showErrorMessage="1" sqref="B26:B40" xr:uid="{C56AA046-E4A9-4C75-8DC4-C242F695C1D4}">
      <formula1>$S$7:$S$8</formula1>
    </dataValidation>
    <dataValidation type="whole" allowBlank="1" showInputMessage="1" showErrorMessage="1" error="Amounts must be in whole dollars" sqref="D67:O74" xr:uid="{568B37F4-EDD8-42AD-9BF0-CCCE8D5F70A7}">
      <formula1>1</formula1>
      <formula2>999999</formula2>
    </dataValidation>
    <dataValidation allowBlank="1" showErrorMessage="1" sqref="C47:C61" xr:uid="{3918BC41-B04B-47BB-B491-B6E62D089A0C}"/>
  </dataValidations>
  <pageMargins left="0.25" right="0.25" top="0.75" bottom="0.75" header="0.3" footer="0.3"/>
  <pageSetup paperSize="9" scale="42" orientation="portrait" r:id="rId1"/>
  <headerFooter alignWithMargins="0">
    <oddHeader>&amp;L&amp;A&amp;CSelf-Employment Assistance</oddHeader>
  </headerFooter>
  <rowBreaks count="1" manualBreakCount="1">
    <brk id="44" max="16"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BE576-0A5E-4E13-AE04-1A3C84BC90BC}">
  <sheetPr codeName="Sheet12">
    <tabColor theme="4" tint="-0.249977111117893"/>
    <pageSetUpPr fitToPage="1"/>
  </sheetPr>
  <dimension ref="A1:W97"/>
  <sheetViews>
    <sheetView zoomScale="80" zoomScaleNormal="80" zoomScaleSheetLayoutView="30" workbookViewId="0">
      <pane ySplit="3" topLeftCell="A64" activePane="bottomLeft" state="frozen"/>
      <selection activeCell="H7" sqref="H7"/>
      <selection pane="bottomLeft" activeCell="F99" sqref="F99"/>
    </sheetView>
  </sheetViews>
  <sheetFormatPr defaultColWidth="9.28515625" defaultRowHeight="15"/>
  <cols>
    <col min="1" max="1" width="69.7109375" style="196" customWidth="1"/>
    <col min="2" max="2" width="9.85546875" style="196" customWidth="1"/>
    <col min="3" max="15" width="13.28515625" style="196" customWidth="1"/>
    <col min="16" max="16" width="15.7109375" style="196" customWidth="1"/>
    <col min="17" max="17" width="56.7109375" style="196" customWidth="1"/>
    <col min="18" max="18" width="11.5703125" style="196" hidden="1" customWidth="1"/>
    <col min="19" max="19" width="13.5703125" style="196" hidden="1" customWidth="1"/>
    <col min="20" max="20" width="12.28515625" style="196" hidden="1" customWidth="1"/>
    <col min="21" max="22" width="12" style="196" hidden="1" customWidth="1"/>
    <col min="23" max="23" width="11.7109375" style="196" hidden="1" customWidth="1"/>
    <col min="24" max="24" width="13.28515625" style="196" customWidth="1"/>
    <col min="25" max="16384" width="9.28515625" style="196"/>
  </cols>
  <sheetData>
    <row r="1" spans="1:18" ht="28.5" customHeight="1">
      <c r="A1" s="421" t="s">
        <v>181</v>
      </c>
      <c r="B1" s="583" t="str">
        <f>'Set Up Details'!C2</f>
        <v>Test1</v>
      </c>
      <c r="C1" s="583"/>
      <c r="D1" s="583"/>
      <c r="E1" s="583"/>
      <c r="F1" s="583"/>
      <c r="G1" s="583"/>
      <c r="H1" s="583"/>
      <c r="I1" s="583"/>
      <c r="J1" s="583"/>
      <c r="K1" s="583"/>
      <c r="L1" s="583"/>
      <c r="M1" s="583"/>
      <c r="N1" s="583"/>
      <c r="O1" s="583"/>
    </row>
    <row r="2" spans="1:18" ht="30" customHeight="1">
      <c r="A2" s="668" t="s">
        <v>38</v>
      </c>
      <c r="B2" s="668"/>
      <c r="C2" s="668"/>
      <c r="D2" s="668"/>
      <c r="E2" s="668"/>
      <c r="F2" s="668"/>
      <c r="G2" s="668"/>
      <c r="H2" s="668"/>
      <c r="I2" s="668"/>
      <c r="J2" s="668"/>
      <c r="K2" s="668"/>
      <c r="L2" s="668"/>
      <c r="M2" s="668"/>
      <c r="N2" s="668"/>
      <c r="O2" s="668"/>
    </row>
    <row r="3" spans="1:18" ht="22.5" customHeight="1" thickBot="1">
      <c r="A3" s="496"/>
      <c r="B3" s="496"/>
      <c r="C3" s="422" t="str">
        <f>'Tables and Calculations'!B2</f>
        <v>Jan</v>
      </c>
      <c r="D3" s="422" t="str">
        <f>'Tables and Calculations'!C2</f>
        <v>Feb</v>
      </c>
      <c r="E3" s="422" t="str">
        <f>'Tables and Calculations'!D2</f>
        <v>Mar</v>
      </c>
      <c r="F3" s="422" t="str">
        <f>'Tables and Calculations'!E2</f>
        <v>Apr</v>
      </c>
      <c r="G3" s="422" t="str">
        <f>'Tables and Calculations'!F2</f>
        <v>May</v>
      </c>
      <c r="H3" s="422" t="str">
        <f>'Tables and Calculations'!G2</f>
        <v>Jun</v>
      </c>
      <c r="I3" s="422" t="str">
        <f>'Tables and Calculations'!H2</f>
        <v>Jul</v>
      </c>
      <c r="J3" s="422" t="str">
        <f>'Tables and Calculations'!I2</f>
        <v>Aug</v>
      </c>
      <c r="K3" s="422" t="str">
        <f>'Tables and Calculations'!J2</f>
        <v>Sep</v>
      </c>
      <c r="L3" s="422" t="str">
        <f>'Tables and Calculations'!K2</f>
        <v>Oct</v>
      </c>
      <c r="M3" s="422" t="str">
        <f>'Tables and Calculations'!L2</f>
        <v>Nov</v>
      </c>
      <c r="N3" s="422" t="str">
        <f>'Tables and Calculations'!M2</f>
        <v>Dec</v>
      </c>
      <c r="O3" s="422" t="s">
        <v>60</v>
      </c>
    </row>
    <row r="4" spans="1:18" ht="15" customHeight="1" thickBot="1">
      <c r="A4" s="672" t="s">
        <v>41</v>
      </c>
      <c r="B4" s="672"/>
      <c r="C4" s="443">
        <f>'Assets and Depreciation'!B17</f>
        <v>0</v>
      </c>
      <c r="D4" s="443" t="e">
        <f t="shared" ref="D4:N4" si="0">C7</f>
        <v>#VALUE!</v>
      </c>
      <c r="E4" s="443" t="e">
        <f t="shared" si="0"/>
        <v>#VALUE!</v>
      </c>
      <c r="F4" s="443" t="e">
        <f t="shared" si="0"/>
        <v>#VALUE!</v>
      </c>
      <c r="G4" s="443" t="e">
        <f t="shared" si="0"/>
        <v>#VALUE!</v>
      </c>
      <c r="H4" s="443" t="e">
        <f t="shared" si="0"/>
        <v>#VALUE!</v>
      </c>
      <c r="I4" s="443" t="e">
        <f t="shared" si="0"/>
        <v>#VALUE!</v>
      </c>
      <c r="J4" s="443" t="e">
        <f t="shared" si="0"/>
        <v>#VALUE!</v>
      </c>
      <c r="K4" s="443" t="e">
        <f t="shared" si="0"/>
        <v>#VALUE!</v>
      </c>
      <c r="L4" s="443" t="e">
        <f t="shared" si="0"/>
        <v>#VALUE!</v>
      </c>
      <c r="M4" s="443" t="e">
        <f t="shared" si="0"/>
        <v>#VALUE!</v>
      </c>
      <c r="N4" s="443" t="e">
        <f t="shared" si="0"/>
        <v>#VALUE!</v>
      </c>
      <c r="O4" s="445">
        <f>C4</f>
        <v>0</v>
      </c>
    </row>
    <row r="5" spans="1:18" ht="15" customHeight="1" thickBot="1">
      <c r="A5" s="672" t="s">
        <v>68</v>
      </c>
      <c r="B5" s="672"/>
      <c r="C5" s="443" t="e">
        <f t="shared" ref="C5:N5" si="1">C18</f>
        <v>#VALUE!</v>
      </c>
      <c r="D5" s="443" t="e">
        <f t="shared" si="1"/>
        <v>#VALUE!</v>
      </c>
      <c r="E5" s="443" t="e">
        <f t="shared" si="1"/>
        <v>#VALUE!</v>
      </c>
      <c r="F5" s="443" t="e">
        <f t="shared" si="1"/>
        <v>#VALUE!</v>
      </c>
      <c r="G5" s="443" t="e">
        <f t="shared" si="1"/>
        <v>#VALUE!</v>
      </c>
      <c r="H5" s="443" t="e">
        <f t="shared" si="1"/>
        <v>#VALUE!</v>
      </c>
      <c r="I5" s="443" t="e">
        <f t="shared" si="1"/>
        <v>#VALUE!</v>
      </c>
      <c r="J5" s="443" t="e">
        <f t="shared" si="1"/>
        <v>#VALUE!</v>
      </c>
      <c r="K5" s="443" t="e">
        <f t="shared" si="1"/>
        <v>#VALUE!</v>
      </c>
      <c r="L5" s="443" t="e">
        <f t="shared" si="1"/>
        <v>#VALUE!</v>
      </c>
      <c r="M5" s="443" t="e">
        <f t="shared" si="1"/>
        <v>#VALUE!</v>
      </c>
      <c r="N5" s="443" t="e">
        <f t="shared" si="1"/>
        <v>#VALUE!</v>
      </c>
      <c r="O5" s="445" t="e">
        <f>SUM(C5:N5)</f>
        <v>#VALUE!</v>
      </c>
      <c r="P5" s="227"/>
    </row>
    <row r="6" spans="1:18" ht="15" customHeight="1" thickBot="1">
      <c r="A6" s="672" t="s">
        <v>115</v>
      </c>
      <c r="B6" s="672"/>
      <c r="C6" s="443" t="e">
        <f>C87</f>
        <v>#VALUE!</v>
      </c>
      <c r="D6" s="443" t="e">
        <f t="shared" ref="D6:N6" si="2">D87</f>
        <v>#VALUE!</v>
      </c>
      <c r="E6" s="443" t="e">
        <f t="shared" si="2"/>
        <v>#VALUE!</v>
      </c>
      <c r="F6" s="443" t="e">
        <f t="shared" si="2"/>
        <v>#VALUE!</v>
      </c>
      <c r="G6" s="443" t="e">
        <f t="shared" si="2"/>
        <v>#VALUE!</v>
      </c>
      <c r="H6" s="443" t="e">
        <f t="shared" si="2"/>
        <v>#VALUE!</v>
      </c>
      <c r="I6" s="443" t="e">
        <f t="shared" si="2"/>
        <v>#VALUE!</v>
      </c>
      <c r="J6" s="443" t="e">
        <f t="shared" si="2"/>
        <v>#VALUE!</v>
      </c>
      <c r="K6" s="443" t="e">
        <f t="shared" si="2"/>
        <v>#VALUE!</v>
      </c>
      <c r="L6" s="443" t="e">
        <f t="shared" si="2"/>
        <v>#VALUE!</v>
      </c>
      <c r="M6" s="443" t="e">
        <f t="shared" si="2"/>
        <v>#VALUE!</v>
      </c>
      <c r="N6" s="443" t="e">
        <f t="shared" si="2"/>
        <v>#VALUE!</v>
      </c>
      <c r="O6" s="445" t="e">
        <f>SUM(C6:N6)</f>
        <v>#VALUE!</v>
      </c>
    </row>
    <row r="7" spans="1:18" ht="15" customHeight="1" thickBot="1">
      <c r="A7" s="672" t="s">
        <v>253</v>
      </c>
      <c r="B7" s="672"/>
      <c r="C7" s="443" t="e">
        <f>SUM(C4+C5-C6)</f>
        <v>#VALUE!</v>
      </c>
      <c r="D7" s="443" t="e">
        <f t="shared" ref="D7:N7" si="3">SUM(D4+D5-D6)</f>
        <v>#VALUE!</v>
      </c>
      <c r="E7" s="443" t="e">
        <f t="shared" si="3"/>
        <v>#VALUE!</v>
      </c>
      <c r="F7" s="443" t="e">
        <f t="shared" si="3"/>
        <v>#VALUE!</v>
      </c>
      <c r="G7" s="443" t="e">
        <f t="shared" si="3"/>
        <v>#VALUE!</v>
      </c>
      <c r="H7" s="443" t="e">
        <f t="shared" si="3"/>
        <v>#VALUE!</v>
      </c>
      <c r="I7" s="443" t="e">
        <f t="shared" si="3"/>
        <v>#VALUE!</v>
      </c>
      <c r="J7" s="443" t="e">
        <f t="shared" si="3"/>
        <v>#VALUE!</v>
      </c>
      <c r="K7" s="443" t="e">
        <f t="shared" si="3"/>
        <v>#VALUE!</v>
      </c>
      <c r="L7" s="443" t="e">
        <f t="shared" si="3"/>
        <v>#VALUE!</v>
      </c>
      <c r="M7" s="443" t="e">
        <f t="shared" si="3"/>
        <v>#VALUE!</v>
      </c>
      <c r="N7" s="443" t="e">
        <f t="shared" si="3"/>
        <v>#VALUE!</v>
      </c>
      <c r="O7" s="445" t="e">
        <f>N7</f>
        <v>#VALUE!</v>
      </c>
      <c r="P7" s="686" t="e">
        <f>IF(OR(C7&lt;0,D7&lt;0,E7&lt;0,F7&lt;0,G7&lt;0,H7&lt;0,I7&lt;0,J7&lt;0,K7&lt;0,L7&lt;0,M7&lt;0,N7&lt;0),"Negative balances to be addressed"," ")</f>
        <v>#VALUE!</v>
      </c>
      <c r="Q7" s="687"/>
    </row>
    <row r="8" spans="1:18" ht="15" customHeight="1" thickBot="1">
      <c r="A8" s="496"/>
      <c r="B8" s="496"/>
      <c r="C8" s="443"/>
      <c r="D8" s="443"/>
      <c r="E8" s="443"/>
      <c r="F8" s="443"/>
      <c r="G8" s="443"/>
      <c r="H8" s="443"/>
      <c r="I8" s="443"/>
      <c r="J8" s="443"/>
      <c r="K8" s="443"/>
      <c r="L8" s="443"/>
      <c r="M8" s="443"/>
      <c r="N8" s="443"/>
      <c r="O8" s="445"/>
      <c r="P8" s="228"/>
      <c r="Q8" s="229"/>
    </row>
    <row r="9" spans="1:18" ht="15" customHeight="1" thickBot="1">
      <c r="A9" s="672" t="s">
        <v>142</v>
      </c>
      <c r="B9" s="672"/>
      <c r="C9" s="443">
        <f>$P$9+SUM('Sales Forecast Year 1'!$D40:D40)-SUM('Sales Forecast Year 1'!$D42:D42)</f>
        <v>0</v>
      </c>
      <c r="D9" s="443">
        <f>$P$9+SUM('Sales Forecast Year 1'!$D40:E40)-SUM('Sales Forecast Year 1'!$D42:E42)</f>
        <v>0</v>
      </c>
      <c r="E9" s="443">
        <f>$P$9+SUM('Sales Forecast Year 1'!$D40:F40)-SUM('Sales Forecast Year 1'!$D42:F42)</f>
        <v>0</v>
      </c>
      <c r="F9" s="443">
        <f>$P$9+SUM('Sales Forecast Year 1'!$D40:G40)-SUM('Sales Forecast Year 1'!$D42:G42)</f>
        <v>0</v>
      </c>
      <c r="G9" s="443">
        <f>$P$9+SUM('Sales Forecast Year 1'!$D40:H40)-SUM('Sales Forecast Year 1'!$D42:H42)</f>
        <v>0</v>
      </c>
      <c r="H9" s="443">
        <f>$P$9+SUM('Sales Forecast Year 1'!$D40:I40)-SUM('Sales Forecast Year 1'!$D42:I42)</f>
        <v>0</v>
      </c>
      <c r="I9" s="443">
        <f>$P$9+SUM('Sales Forecast Year 1'!$D40:J40)-SUM('Sales Forecast Year 1'!$D42:J42)</f>
        <v>0</v>
      </c>
      <c r="J9" s="443">
        <f>$P$9+SUM('Sales Forecast Year 1'!$D40:K40)-SUM('Sales Forecast Year 1'!$D42:K42)</f>
        <v>0</v>
      </c>
      <c r="K9" s="443">
        <f>$P$9+SUM('Sales Forecast Year 1'!$D40:L40)-SUM('Sales Forecast Year 1'!$D42:L42)</f>
        <v>0</v>
      </c>
      <c r="L9" s="443">
        <f>$P$9+SUM('Sales Forecast Year 1'!$D40:M40)-SUM('Sales Forecast Year 1'!$D42:M42)</f>
        <v>0</v>
      </c>
      <c r="M9" s="443">
        <f>$P$9+SUM('Sales Forecast Year 1'!$D40:N40)-SUM('Sales Forecast Year 1'!$D42:N42)</f>
        <v>0</v>
      </c>
      <c r="N9" s="443">
        <f>$P$9+SUM('Sales Forecast Year 1'!$D40:O40)-SUM('Sales Forecast Year 1'!$D42:O42)</f>
        <v>0</v>
      </c>
      <c r="O9" s="445"/>
      <c r="P9" s="686"/>
      <c r="Q9" s="687"/>
    </row>
    <row r="10" spans="1:18" ht="25.9" customHeight="1" thickBot="1">
      <c r="A10" s="230"/>
      <c r="B10" s="230"/>
      <c r="C10" s="225"/>
      <c r="D10" s="225"/>
      <c r="E10" s="225"/>
      <c r="F10" s="225"/>
      <c r="G10" s="225"/>
      <c r="H10" s="225"/>
      <c r="I10" s="225"/>
      <c r="J10" s="225"/>
      <c r="K10" s="225"/>
      <c r="L10" s="225"/>
      <c r="M10" s="225"/>
      <c r="N10" s="225"/>
      <c r="O10" s="225"/>
      <c r="P10" s="229"/>
      <c r="Q10" s="229"/>
    </row>
    <row r="11" spans="1:18" ht="28.15" customHeight="1" thickBot="1">
      <c r="A11" s="526" t="s">
        <v>254</v>
      </c>
      <c r="B11" s="526"/>
      <c r="C11" s="526"/>
      <c r="D11" s="526"/>
      <c r="E11" s="526"/>
      <c r="F11" s="526"/>
      <c r="G11" s="526"/>
      <c r="H11" s="526"/>
      <c r="I11" s="526"/>
      <c r="J11" s="526"/>
      <c r="K11" s="526"/>
      <c r="L11" s="526"/>
      <c r="M11" s="526"/>
      <c r="N11" s="526"/>
      <c r="O11" s="526"/>
      <c r="R11" s="231" t="s">
        <v>255</v>
      </c>
    </row>
    <row r="12" spans="1:18" ht="21" customHeight="1" thickBot="1">
      <c r="A12" s="444" t="s">
        <v>256</v>
      </c>
      <c r="B12" s="232"/>
      <c r="C12" s="443" t="e">
        <f>'Debtors analysis'!C22</f>
        <v>#VALUE!</v>
      </c>
      <c r="D12" s="443" t="e">
        <f>'Debtors analysis'!D22</f>
        <v>#VALUE!</v>
      </c>
      <c r="E12" s="443" t="e">
        <f>'Debtors analysis'!E22</f>
        <v>#VALUE!</v>
      </c>
      <c r="F12" s="443" t="e">
        <f>'Debtors analysis'!F22</f>
        <v>#VALUE!</v>
      </c>
      <c r="G12" s="443" t="e">
        <f>'Debtors analysis'!G22</f>
        <v>#VALUE!</v>
      </c>
      <c r="H12" s="443" t="e">
        <f>'Debtors analysis'!H22</f>
        <v>#VALUE!</v>
      </c>
      <c r="I12" s="443" t="e">
        <f>'Debtors analysis'!I22</f>
        <v>#VALUE!</v>
      </c>
      <c r="J12" s="443" t="e">
        <f>'Debtors analysis'!J22</f>
        <v>#VALUE!</v>
      </c>
      <c r="K12" s="443" t="e">
        <f>'Debtors analysis'!K22</f>
        <v>#VALUE!</v>
      </c>
      <c r="L12" s="443" t="e">
        <f>'Debtors analysis'!L22</f>
        <v>#VALUE!</v>
      </c>
      <c r="M12" s="443" t="e">
        <f>'Debtors analysis'!M22</f>
        <v>#VALUE!</v>
      </c>
      <c r="N12" s="443" t="e">
        <f>'Debtors analysis'!N22</f>
        <v>#VALUE!</v>
      </c>
      <c r="O12" s="445" t="e">
        <f>SUM(C12:N12)</f>
        <v>#VALUE!</v>
      </c>
      <c r="R12" s="233">
        <f>('Debtors analysis'!AC22)</f>
        <v>0</v>
      </c>
    </row>
    <row r="13" spans="1:18" ht="21" customHeight="1" thickBot="1">
      <c r="A13" s="444"/>
      <c r="B13" s="234"/>
      <c r="C13" s="688"/>
      <c r="D13" s="689"/>
      <c r="E13" s="689"/>
      <c r="F13" s="689"/>
      <c r="G13" s="689"/>
      <c r="H13" s="689"/>
      <c r="I13" s="689"/>
      <c r="J13" s="689"/>
      <c r="K13" s="689"/>
      <c r="L13" s="689"/>
      <c r="M13" s="689"/>
      <c r="N13" s="689"/>
      <c r="O13" s="690"/>
      <c r="R13" s="235"/>
    </row>
    <row r="14" spans="1:18" ht="21" customHeight="1" thickBot="1">
      <c r="A14" s="444"/>
      <c r="B14" s="236"/>
      <c r="C14" s="443"/>
      <c r="D14" s="443"/>
      <c r="E14" s="443"/>
      <c r="F14" s="443"/>
      <c r="G14" s="443"/>
      <c r="H14" s="443"/>
      <c r="I14" s="443"/>
      <c r="J14" s="443"/>
      <c r="K14" s="443"/>
      <c r="L14" s="443"/>
      <c r="M14" s="443"/>
      <c r="N14" s="443"/>
      <c r="O14" s="445">
        <f>SUM(C14:N14)</f>
        <v>0</v>
      </c>
      <c r="R14" s="237">
        <f>(O14*'Tables and Calculations'!C7)</f>
        <v>0</v>
      </c>
    </row>
    <row r="15" spans="1:18" ht="21" customHeight="1" thickBot="1">
      <c r="A15" s="444" t="s">
        <v>257</v>
      </c>
      <c r="B15" s="238"/>
      <c r="C15" s="688"/>
      <c r="D15" s="689"/>
      <c r="E15" s="689"/>
      <c r="F15" s="689"/>
      <c r="G15" s="689"/>
      <c r="H15" s="689"/>
      <c r="I15" s="689"/>
      <c r="J15" s="689"/>
      <c r="K15" s="689"/>
      <c r="L15" s="689"/>
      <c r="M15" s="689"/>
      <c r="N15" s="689"/>
      <c r="O15" s="690"/>
      <c r="R15" s="235"/>
    </row>
    <row r="16" spans="1:18" ht="27.75" customHeight="1" thickBot="1">
      <c r="A16" s="444" t="s">
        <v>258</v>
      </c>
      <c r="B16" s="239" t="s">
        <v>259</v>
      </c>
      <c r="C16" s="443">
        <f>IF('Business Loans'!$A$18=C97,'Business Loans'!$B$12,0)+IF('Business Loans'!$A$36=C97,'Business Loans'!$B$30,0)</f>
        <v>0</v>
      </c>
      <c r="D16" s="443">
        <f>IF('Business Loans'!$A$18=D97,'Business Loans'!$B$12,0)+IF('Business Loans'!$A$36=D97,'Business Loans'!$B$30,0)</f>
        <v>0</v>
      </c>
      <c r="E16" s="443">
        <f>IF('Business Loans'!$A$18=E97,'Business Loans'!$B$12,0)+IF('Business Loans'!$A$36=E97,'Business Loans'!$B$30,0)</f>
        <v>0</v>
      </c>
      <c r="F16" s="443">
        <f>IF('Business Loans'!$A$18=F97,'Business Loans'!$B$12,0)+IF('Business Loans'!$A$36=F97,'Business Loans'!$B$30,0)</f>
        <v>0</v>
      </c>
      <c r="G16" s="443">
        <f>IF('Business Loans'!$A$18=G97,'Business Loans'!$B$12,0)+IF('Business Loans'!$A$36=G97,'Business Loans'!$B$30,0)</f>
        <v>0</v>
      </c>
      <c r="H16" s="443">
        <f>IF('Business Loans'!$A$18=H97,'Business Loans'!$B$12,0)+IF('Business Loans'!$A$36=H97,'Business Loans'!$B$30,0)</f>
        <v>0</v>
      </c>
      <c r="I16" s="443">
        <f>IF('Business Loans'!$A$18=I97,'Business Loans'!$B$12,0)+IF('Business Loans'!$A$36=I97,'Business Loans'!$B$30,0)</f>
        <v>0</v>
      </c>
      <c r="J16" s="443">
        <f>IF('Business Loans'!$A$18=J97,'Business Loans'!$B$12,0)+IF('Business Loans'!$A$36=J97,'Business Loans'!$B$30,0)</f>
        <v>0</v>
      </c>
      <c r="K16" s="443">
        <f>IF('Business Loans'!$A$18=K97,'Business Loans'!$B$12,0)+IF('Business Loans'!$A$36=K97,'Business Loans'!$B$30,0)</f>
        <v>0</v>
      </c>
      <c r="L16" s="443">
        <f>IF('Business Loans'!$A$18=L97,'Business Loans'!$B$12,0)+IF('Business Loans'!$A$36=L97,'Business Loans'!$B$30,0)</f>
        <v>0</v>
      </c>
      <c r="M16" s="443">
        <f>IF('Business Loans'!$A$18=M97,'Business Loans'!$B$12,0)+IF('Business Loans'!$A$36=M97,'Business Loans'!$B$30,0)</f>
        <v>0</v>
      </c>
      <c r="N16" s="443">
        <f>IF('Business Loans'!$A$18=N97,'Business Loans'!$B$12,0)+IF('Business Loans'!$A$36=N97,'Business Loans'!$B$30,0)</f>
        <v>0</v>
      </c>
      <c r="O16" s="445">
        <f>SUM(C16:N16)</f>
        <v>0</v>
      </c>
      <c r="R16" s="235"/>
    </row>
    <row r="17" spans="1:19" ht="32.25" customHeight="1" thickBot="1">
      <c r="A17" s="444"/>
      <c r="B17" s="239" t="s">
        <v>259</v>
      </c>
      <c r="C17" s="443"/>
      <c r="D17" s="443"/>
      <c r="E17" s="443"/>
      <c r="F17" s="443"/>
      <c r="G17" s="443"/>
      <c r="H17" s="443"/>
      <c r="I17" s="443"/>
      <c r="J17" s="443"/>
      <c r="K17" s="443"/>
      <c r="L17" s="443"/>
      <c r="M17" s="443"/>
      <c r="N17" s="443"/>
      <c r="O17" s="445">
        <f>SUM(C17:N17)</f>
        <v>0</v>
      </c>
      <c r="R17" s="235"/>
    </row>
    <row r="18" spans="1:19" ht="21" customHeight="1" thickBot="1">
      <c r="A18" s="645" t="s">
        <v>68</v>
      </c>
      <c r="B18" s="645"/>
      <c r="C18" s="445" t="e">
        <f t="shared" ref="C18:O18" si="4">SUM(C12:C17)</f>
        <v>#VALUE!</v>
      </c>
      <c r="D18" s="445" t="e">
        <f t="shared" si="4"/>
        <v>#VALUE!</v>
      </c>
      <c r="E18" s="445" t="e">
        <f t="shared" si="4"/>
        <v>#VALUE!</v>
      </c>
      <c r="F18" s="445" t="e">
        <f t="shared" si="4"/>
        <v>#VALUE!</v>
      </c>
      <c r="G18" s="445" t="e">
        <f t="shared" si="4"/>
        <v>#VALUE!</v>
      </c>
      <c r="H18" s="445" t="e">
        <f t="shared" si="4"/>
        <v>#VALUE!</v>
      </c>
      <c r="I18" s="445" t="e">
        <f t="shared" si="4"/>
        <v>#VALUE!</v>
      </c>
      <c r="J18" s="445" t="e">
        <f t="shared" si="4"/>
        <v>#VALUE!</v>
      </c>
      <c r="K18" s="445" t="e">
        <f t="shared" si="4"/>
        <v>#VALUE!</v>
      </c>
      <c r="L18" s="445" t="e">
        <f t="shared" si="4"/>
        <v>#VALUE!</v>
      </c>
      <c r="M18" s="445" t="e">
        <f t="shared" si="4"/>
        <v>#VALUE!</v>
      </c>
      <c r="N18" s="445" t="e">
        <f t="shared" si="4"/>
        <v>#VALUE!</v>
      </c>
      <c r="O18" s="445" t="e">
        <f t="shared" si="4"/>
        <v>#VALUE!</v>
      </c>
      <c r="R18" s="235"/>
      <c r="S18" s="39"/>
    </row>
    <row r="19" spans="1:19">
      <c r="R19" s="235"/>
    </row>
    <row r="20" spans="1:19" ht="28.9" customHeight="1" thickBot="1">
      <c r="A20" s="526" t="s">
        <v>260</v>
      </c>
      <c r="B20" s="526"/>
      <c r="C20" s="526"/>
      <c r="D20" s="526"/>
      <c r="E20" s="526"/>
      <c r="F20" s="526"/>
      <c r="G20" s="526"/>
      <c r="H20" s="526"/>
      <c r="I20" s="526"/>
      <c r="J20" s="526"/>
      <c r="K20" s="526"/>
      <c r="L20" s="526"/>
      <c r="M20" s="526"/>
      <c r="N20" s="526"/>
      <c r="O20" s="526"/>
      <c r="R20" s="235"/>
    </row>
    <row r="21" spans="1:19" ht="21" customHeight="1" thickBot="1">
      <c r="A21" s="422" t="s">
        <v>261</v>
      </c>
      <c r="B21" s="222"/>
      <c r="C21" s="422" t="str">
        <f>'Tables and Calculations'!B2</f>
        <v>Jan</v>
      </c>
      <c r="D21" s="422" t="str">
        <f>'Tables and Calculations'!C2</f>
        <v>Feb</v>
      </c>
      <c r="E21" s="422" t="str">
        <f>'Tables and Calculations'!D2</f>
        <v>Mar</v>
      </c>
      <c r="F21" s="422" t="str">
        <f>'Tables and Calculations'!E2</f>
        <v>Apr</v>
      </c>
      <c r="G21" s="422" t="str">
        <f>'Tables and Calculations'!F2</f>
        <v>May</v>
      </c>
      <c r="H21" s="422" t="str">
        <f>'Tables and Calculations'!G2</f>
        <v>Jun</v>
      </c>
      <c r="I21" s="422" t="str">
        <f>'Tables and Calculations'!H2</f>
        <v>Jul</v>
      </c>
      <c r="J21" s="422" t="str">
        <f>'Tables and Calculations'!I2</f>
        <v>Aug</v>
      </c>
      <c r="K21" s="422" t="str">
        <f>'Tables and Calculations'!J2</f>
        <v>Sep</v>
      </c>
      <c r="L21" s="422" t="str">
        <f>'Tables and Calculations'!K2</f>
        <v>Oct</v>
      </c>
      <c r="M21" s="422" t="str">
        <f>'Tables and Calculations'!L2</f>
        <v>Nov</v>
      </c>
      <c r="N21" s="422" t="str">
        <f>'Tables and Calculations'!M2</f>
        <v>Dec</v>
      </c>
      <c r="O21" s="240" t="s">
        <v>60</v>
      </c>
      <c r="R21" s="235"/>
    </row>
    <row r="22" spans="1:19" ht="21" customHeight="1" thickBot="1">
      <c r="A22" s="444" t="s">
        <v>262</v>
      </c>
      <c r="B22" s="223"/>
      <c r="C22" s="443">
        <f>'Sales Forecast Year 1'!D74</f>
        <v>0</v>
      </c>
      <c r="D22" s="443">
        <f>'Sales Forecast Year 1'!E74</f>
        <v>0</v>
      </c>
      <c r="E22" s="443">
        <f>'Sales Forecast Year 1'!F74</f>
        <v>0</v>
      </c>
      <c r="F22" s="443">
        <f>'Sales Forecast Year 1'!G74</f>
        <v>0</v>
      </c>
      <c r="G22" s="443">
        <f>'Sales Forecast Year 1'!H74</f>
        <v>0</v>
      </c>
      <c r="H22" s="443">
        <f>'Sales Forecast Year 1'!I74</f>
        <v>0</v>
      </c>
      <c r="I22" s="443">
        <f>'Sales Forecast Year 1'!J74</f>
        <v>0</v>
      </c>
      <c r="J22" s="443">
        <f>'Sales Forecast Year 1'!K74</f>
        <v>0</v>
      </c>
      <c r="K22" s="443">
        <f>'Sales Forecast Year 1'!L74</f>
        <v>0</v>
      </c>
      <c r="L22" s="443">
        <f>'Sales Forecast Year 1'!M74</f>
        <v>0</v>
      </c>
      <c r="M22" s="443">
        <f>'Sales Forecast Year 1'!N74</f>
        <v>0</v>
      </c>
      <c r="N22" s="443">
        <f>'Sales Forecast Year 1'!O74</f>
        <v>0</v>
      </c>
      <c r="O22" s="445">
        <f>SUM(C22:N22)</f>
        <v>0</v>
      </c>
      <c r="R22" s="241">
        <f>(O22*'Tables and Calculations'!C7)</f>
        <v>0</v>
      </c>
    </row>
    <row r="23" spans="1:19" ht="21" customHeight="1" thickBot="1">
      <c r="A23" s="444"/>
      <c r="B23" s="223"/>
      <c r="C23" s="443"/>
      <c r="D23" s="443"/>
      <c r="E23" s="443"/>
      <c r="F23" s="443"/>
      <c r="G23" s="443"/>
      <c r="H23" s="443"/>
      <c r="I23" s="443"/>
      <c r="J23" s="443"/>
      <c r="K23" s="443"/>
      <c r="L23" s="443"/>
      <c r="M23" s="443"/>
      <c r="N23" s="443"/>
      <c r="O23" s="445">
        <f t="shared" ref="O23:O24" si="5">SUM(C23:N23)</f>
        <v>0</v>
      </c>
      <c r="R23" s="241">
        <f>(O23*'Tables and Calculations'!C7)</f>
        <v>0</v>
      </c>
    </row>
    <row r="24" spans="1:19" ht="21" customHeight="1" thickBot="1">
      <c r="A24" s="444"/>
      <c r="B24" s="223"/>
      <c r="C24" s="443"/>
      <c r="D24" s="443"/>
      <c r="E24" s="443"/>
      <c r="F24" s="443"/>
      <c r="G24" s="443"/>
      <c r="H24" s="443"/>
      <c r="I24" s="443"/>
      <c r="J24" s="443"/>
      <c r="K24" s="443"/>
      <c r="L24" s="443"/>
      <c r="M24" s="443"/>
      <c r="N24" s="443"/>
      <c r="O24" s="445">
        <f t="shared" si="5"/>
        <v>0</v>
      </c>
      <c r="R24" s="241">
        <f>(O24*'Tables and Calculations'!C7)</f>
        <v>0</v>
      </c>
    </row>
    <row r="25" spans="1:19" ht="21" customHeight="1" thickBot="1">
      <c r="A25" s="685" t="s">
        <v>263</v>
      </c>
      <c r="B25" s="685"/>
      <c r="C25" s="445">
        <f>SUM(C21:C24)</f>
        <v>0</v>
      </c>
      <c r="D25" s="445">
        <f t="shared" ref="D25:N25" si="6">SUM(D21:D24)</f>
        <v>0</v>
      </c>
      <c r="E25" s="445">
        <f t="shared" si="6"/>
        <v>0</v>
      </c>
      <c r="F25" s="445">
        <f t="shared" si="6"/>
        <v>0</v>
      </c>
      <c r="G25" s="445">
        <f t="shared" si="6"/>
        <v>0</v>
      </c>
      <c r="H25" s="445">
        <f t="shared" si="6"/>
        <v>0</v>
      </c>
      <c r="I25" s="445">
        <f t="shared" si="6"/>
        <v>0</v>
      </c>
      <c r="J25" s="445">
        <f t="shared" si="6"/>
        <v>0</v>
      </c>
      <c r="K25" s="445">
        <f t="shared" si="6"/>
        <v>0</v>
      </c>
      <c r="L25" s="445">
        <f t="shared" si="6"/>
        <v>0</v>
      </c>
      <c r="M25" s="445">
        <f t="shared" si="6"/>
        <v>0</v>
      </c>
      <c r="N25" s="445">
        <f t="shared" si="6"/>
        <v>0</v>
      </c>
      <c r="O25" s="445">
        <f>SUM(O22:O24)</f>
        <v>0</v>
      </c>
      <c r="R25" s="235"/>
      <c r="S25" s="39"/>
    </row>
    <row r="26" spans="1:19" ht="21" customHeight="1" thickBot="1">
      <c r="A26" s="422" t="s">
        <v>264</v>
      </c>
      <c r="B26" s="222"/>
      <c r="C26" s="242"/>
      <c r="D26" s="242"/>
      <c r="E26" s="242"/>
      <c r="F26" s="242"/>
      <c r="G26" s="242"/>
      <c r="H26" s="242"/>
      <c r="I26" s="242"/>
      <c r="J26" s="242"/>
      <c r="K26" s="242"/>
      <c r="L26" s="242"/>
      <c r="M26" s="242"/>
      <c r="N26" s="242"/>
      <c r="O26" s="243"/>
      <c r="R26" s="235"/>
    </row>
    <row r="27" spans="1:19" ht="21" customHeight="1" thickBot="1">
      <c r="A27" s="498" t="s">
        <v>265</v>
      </c>
      <c r="B27" s="223"/>
      <c r="C27" s="443">
        <f>'Marketing Action Plan Year 1'!C40</f>
        <v>0</v>
      </c>
      <c r="D27" s="443">
        <f>'Marketing Action Plan Year 1'!D40</f>
        <v>0</v>
      </c>
      <c r="E27" s="443">
        <f>'Marketing Action Plan Year 1'!E40</f>
        <v>0</v>
      </c>
      <c r="F27" s="443">
        <f>'Marketing Action Plan Year 1'!F40</f>
        <v>0</v>
      </c>
      <c r="G27" s="443">
        <f>'Marketing Action Plan Year 1'!G40</f>
        <v>0</v>
      </c>
      <c r="H27" s="443">
        <f>'Marketing Action Plan Year 1'!H40</f>
        <v>0</v>
      </c>
      <c r="I27" s="443">
        <f>'Marketing Action Plan Year 1'!I40</f>
        <v>0</v>
      </c>
      <c r="J27" s="443">
        <f>'Marketing Action Plan Year 1'!J40</f>
        <v>0</v>
      </c>
      <c r="K27" s="443">
        <f>'Marketing Action Plan Year 1'!K40</f>
        <v>0</v>
      </c>
      <c r="L27" s="443">
        <f>'Marketing Action Plan Year 1'!L40</f>
        <v>0</v>
      </c>
      <c r="M27" s="443">
        <f>'Marketing Action Plan Year 1'!M40</f>
        <v>0</v>
      </c>
      <c r="N27" s="443">
        <f>'Marketing Action Plan Year 1'!N40</f>
        <v>0</v>
      </c>
      <c r="O27" s="445">
        <f>SUM(C27:N27)</f>
        <v>0</v>
      </c>
      <c r="R27" s="244">
        <f>(O27*'Tables and Calculations'!C7)</f>
        <v>0</v>
      </c>
    </row>
    <row r="28" spans="1:19" ht="21" customHeight="1" thickBot="1">
      <c r="A28" s="444" t="s">
        <v>266</v>
      </c>
      <c r="B28" s="245"/>
      <c r="C28" s="443"/>
      <c r="D28" s="443"/>
      <c r="E28" s="443"/>
      <c r="F28" s="443"/>
      <c r="G28" s="443"/>
      <c r="H28" s="443"/>
      <c r="I28" s="443"/>
      <c r="J28" s="443"/>
      <c r="K28" s="443"/>
      <c r="L28" s="443"/>
      <c r="M28" s="443"/>
      <c r="N28" s="443"/>
      <c r="O28" s="445">
        <f t="shared" ref="O28:O52" si="7">SUM(C28:N28)</f>
        <v>0</v>
      </c>
      <c r="R28" s="244">
        <f>(O28*'Tables and Calculations'!C7)</f>
        <v>0</v>
      </c>
    </row>
    <row r="29" spans="1:19" ht="21" customHeight="1" thickBot="1">
      <c r="A29" s="444" t="s">
        <v>267</v>
      </c>
      <c r="B29" s="245"/>
      <c r="C29" s="443"/>
      <c r="D29" s="443"/>
      <c r="E29" s="443"/>
      <c r="F29" s="443"/>
      <c r="G29" s="443"/>
      <c r="H29" s="443"/>
      <c r="I29" s="443"/>
      <c r="J29" s="443"/>
      <c r="K29" s="443"/>
      <c r="L29" s="443"/>
      <c r="M29" s="443"/>
      <c r="N29" s="443"/>
      <c r="O29" s="445">
        <f t="shared" si="7"/>
        <v>0</v>
      </c>
      <c r="R29" s="244">
        <f>(O29*'Tables and Calculations'!C7)</f>
        <v>0</v>
      </c>
    </row>
    <row r="30" spans="1:19" ht="21" customHeight="1" thickBot="1">
      <c r="A30" s="444" t="s">
        <v>268</v>
      </c>
      <c r="B30" s="245"/>
      <c r="C30" s="443"/>
      <c r="D30" s="443"/>
      <c r="E30" s="443"/>
      <c r="F30" s="443"/>
      <c r="G30" s="443"/>
      <c r="H30" s="443"/>
      <c r="I30" s="443"/>
      <c r="J30" s="443"/>
      <c r="K30" s="443"/>
      <c r="L30" s="443"/>
      <c r="M30" s="443"/>
      <c r="N30" s="443"/>
      <c r="O30" s="445">
        <f t="shared" si="7"/>
        <v>0</v>
      </c>
      <c r="R30" s="244">
        <f>(O30*'Tables and Calculations'!C7)</f>
        <v>0</v>
      </c>
    </row>
    <row r="31" spans="1:19" ht="21" customHeight="1" thickBot="1">
      <c r="A31" s="444" t="s">
        <v>269</v>
      </c>
      <c r="B31" s="245"/>
      <c r="C31" s="443"/>
      <c r="D31" s="443"/>
      <c r="E31" s="443"/>
      <c r="F31" s="443"/>
      <c r="G31" s="443"/>
      <c r="H31" s="443"/>
      <c r="I31" s="443"/>
      <c r="J31" s="443"/>
      <c r="K31" s="443"/>
      <c r="L31" s="443"/>
      <c r="M31" s="443"/>
      <c r="N31" s="443"/>
      <c r="O31" s="445">
        <f t="shared" si="7"/>
        <v>0</v>
      </c>
      <c r="R31" s="244">
        <f>(O31*'Tables and Calculations'!C7)</f>
        <v>0</v>
      </c>
    </row>
    <row r="32" spans="1:19" ht="21" customHeight="1" thickBot="1">
      <c r="A32" s="444" t="s">
        <v>270</v>
      </c>
      <c r="B32" s="245"/>
      <c r="C32" s="443"/>
      <c r="D32" s="443"/>
      <c r="E32" s="443"/>
      <c r="F32" s="443"/>
      <c r="G32" s="443"/>
      <c r="H32" s="443"/>
      <c r="I32" s="443"/>
      <c r="J32" s="443"/>
      <c r="K32" s="443"/>
      <c r="L32" s="443"/>
      <c r="M32" s="443"/>
      <c r="N32" s="443"/>
      <c r="O32" s="445">
        <f t="shared" si="7"/>
        <v>0</v>
      </c>
      <c r="R32" s="244">
        <f>(O32*'Tables and Calculations'!C7)</f>
        <v>0</v>
      </c>
    </row>
    <row r="33" spans="1:23" ht="21" customHeight="1" thickBot="1">
      <c r="A33" s="444" t="s">
        <v>271</v>
      </c>
      <c r="B33" s="245"/>
      <c r="C33" s="443"/>
      <c r="D33" s="443"/>
      <c r="E33" s="443"/>
      <c r="F33" s="443"/>
      <c r="G33" s="443"/>
      <c r="H33" s="443"/>
      <c r="I33" s="443"/>
      <c r="J33" s="443"/>
      <c r="K33" s="443"/>
      <c r="L33" s="443"/>
      <c r="M33" s="443"/>
      <c r="N33" s="443"/>
      <c r="O33" s="445">
        <f t="shared" si="7"/>
        <v>0</v>
      </c>
      <c r="R33" s="244">
        <f>(O33*'Tables and Calculations'!C7)</f>
        <v>0</v>
      </c>
    </row>
    <row r="34" spans="1:23" ht="21" customHeight="1" thickBot="1">
      <c r="A34" s="499" t="s">
        <v>272</v>
      </c>
      <c r="B34" s="245"/>
      <c r="C34" s="443"/>
      <c r="D34" s="443"/>
      <c r="E34" s="443"/>
      <c r="F34" s="443"/>
      <c r="G34" s="443"/>
      <c r="H34" s="443"/>
      <c r="I34" s="443"/>
      <c r="J34" s="443"/>
      <c r="K34" s="443"/>
      <c r="L34" s="443"/>
      <c r="M34" s="443"/>
      <c r="N34" s="443"/>
      <c r="O34" s="445">
        <f t="shared" si="7"/>
        <v>0</v>
      </c>
      <c r="R34" s="244">
        <f>(O34*'Tables and Calculations'!C7)</f>
        <v>0</v>
      </c>
    </row>
    <row r="35" spans="1:23" ht="59.25" customHeight="1" thickBot="1">
      <c r="A35" s="499" t="s">
        <v>462</v>
      </c>
      <c r="B35" s="245"/>
      <c r="C35" s="443"/>
      <c r="D35" s="443"/>
      <c r="E35" s="443"/>
      <c r="F35" s="443"/>
      <c r="G35" s="443"/>
      <c r="H35" s="443"/>
      <c r="I35" s="443"/>
      <c r="J35" s="443"/>
      <c r="K35" s="443"/>
      <c r="L35" s="443"/>
      <c r="M35" s="443"/>
      <c r="N35" s="443"/>
      <c r="O35" s="445">
        <f t="shared" si="7"/>
        <v>0</v>
      </c>
      <c r="R35" s="244">
        <f>(O35*'Tables and Calculations'!C7)</f>
        <v>0</v>
      </c>
    </row>
    <row r="36" spans="1:23" ht="21" customHeight="1" thickBot="1">
      <c r="A36" s="499" t="s">
        <v>273</v>
      </c>
      <c r="B36" s="245"/>
      <c r="C36" s="443"/>
      <c r="D36" s="443"/>
      <c r="E36" s="443"/>
      <c r="F36" s="443"/>
      <c r="G36" s="443"/>
      <c r="H36" s="443"/>
      <c r="I36" s="443"/>
      <c r="J36" s="443"/>
      <c r="K36" s="443"/>
      <c r="L36" s="443"/>
      <c r="M36" s="443"/>
      <c r="N36" s="443"/>
      <c r="O36" s="445">
        <f t="shared" si="7"/>
        <v>0</v>
      </c>
      <c r="R36" s="244">
        <f>(O36*'Tables and Calculations'!C7)</f>
        <v>0</v>
      </c>
    </row>
    <row r="37" spans="1:23" ht="21" customHeight="1" thickBot="1">
      <c r="A37" s="499" t="s">
        <v>274</v>
      </c>
      <c r="B37" s="245"/>
      <c r="C37" s="443"/>
      <c r="D37" s="443"/>
      <c r="E37" s="443"/>
      <c r="F37" s="443"/>
      <c r="G37" s="443"/>
      <c r="H37" s="443"/>
      <c r="I37" s="443"/>
      <c r="J37" s="443"/>
      <c r="K37" s="443"/>
      <c r="L37" s="443"/>
      <c r="M37" s="443"/>
      <c r="N37" s="443"/>
      <c r="O37" s="445">
        <f t="shared" si="7"/>
        <v>0</v>
      </c>
      <c r="R37" s="244">
        <f>(O37*'Tables and Calculations'!C7)</f>
        <v>0</v>
      </c>
    </row>
    <row r="38" spans="1:23" ht="21" customHeight="1" thickBot="1">
      <c r="A38" s="499" t="s">
        <v>275</v>
      </c>
      <c r="B38" s="245"/>
      <c r="C38" s="443"/>
      <c r="D38" s="443"/>
      <c r="E38" s="443"/>
      <c r="F38" s="443"/>
      <c r="G38" s="443"/>
      <c r="H38" s="443"/>
      <c r="I38" s="443"/>
      <c r="J38" s="443"/>
      <c r="K38" s="443"/>
      <c r="L38" s="443"/>
      <c r="M38" s="443"/>
      <c r="N38" s="443"/>
      <c r="O38" s="445">
        <f>SUM(C38:N38)</f>
        <v>0</v>
      </c>
      <c r="R38" s="244">
        <f>(O38*'Tables and Calculations'!C7)</f>
        <v>0</v>
      </c>
    </row>
    <row r="39" spans="1:23" ht="21" customHeight="1" thickBot="1">
      <c r="A39" s="499" t="s">
        <v>276</v>
      </c>
      <c r="B39" s="245"/>
      <c r="C39" s="443"/>
      <c r="D39" s="443"/>
      <c r="E39" s="443"/>
      <c r="F39" s="443"/>
      <c r="G39" s="443"/>
      <c r="H39" s="443"/>
      <c r="I39" s="443"/>
      <c r="J39" s="443"/>
      <c r="K39" s="443"/>
      <c r="L39" s="443"/>
      <c r="M39" s="443"/>
      <c r="N39" s="443"/>
      <c r="O39" s="445">
        <f t="shared" si="7"/>
        <v>0</v>
      </c>
      <c r="R39" s="244">
        <f>(O39*'Tables and Calculations'!C7)</f>
        <v>0</v>
      </c>
    </row>
    <row r="40" spans="1:23" ht="21" customHeight="1" thickBot="1">
      <c r="A40" s="499" t="s">
        <v>277</v>
      </c>
      <c r="B40" s="245"/>
      <c r="C40" s="443"/>
      <c r="D40" s="443"/>
      <c r="E40" s="443"/>
      <c r="F40" s="443"/>
      <c r="G40" s="443"/>
      <c r="H40" s="443"/>
      <c r="I40" s="443"/>
      <c r="J40" s="443"/>
      <c r="K40" s="443"/>
      <c r="L40" s="443"/>
      <c r="M40" s="443"/>
      <c r="N40" s="443"/>
      <c r="O40" s="445">
        <f t="shared" si="7"/>
        <v>0</v>
      </c>
      <c r="R40" s="244">
        <f>(O40*'Tables and Calculations'!C7)</f>
        <v>0</v>
      </c>
    </row>
    <row r="41" spans="1:23" ht="21" customHeight="1" thickBot="1">
      <c r="A41" s="499" t="s">
        <v>278</v>
      </c>
      <c r="B41" s="245"/>
      <c r="C41" s="443"/>
      <c r="D41" s="443"/>
      <c r="E41" s="443"/>
      <c r="F41" s="443"/>
      <c r="G41" s="443"/>
      <c r="H41" s="443"/>
      <c r="I41" s="443"/>
      <c r="J41" s="443"/>
      <c r="K41" s="443"/>
      <c r="L41" s="443"/>
      <c r="M41" s="443"/>
      <c r="N41" s="443"/>
      <c r="O41" s="445">
        <f t="shared" si="7"/>
        <v>0</v>
      </c>
      <c r="R41" s="244">
        <f>(O41*'Tables and Calculations'!C7)</f>
        <v>0</v>
      </c>
    </row>
    <row r="42" spans="1:23" ht="21" customHeight="1" thickBot="1">
      <c r="A42" s="499" t="s">
        <v>279</v>
      </c>
      <c r="B42" s="245"/>
      <c r="C42" s="443"/>
      <c r="D42" s="443"/>
      <c r="E42" s="443"/>
      <c r="F42" s="443"/>
      <c r="G42" s="443"/>
      <c r="H42" s="443"/>
      <c r="I42" s="443"/>
      <c r="J42" s="443"/>
      <c r="K42" s="443"/>
      <c r="L42" s="443"/>
      <c r="M42" s="443"/>
      <c r="N42" s="443"/>
      <c r="O42" s="445">
        <f t="shared" si="7"/>
        <v>0</v>
      </c>
      <c r="R42" s="244">
        <f>(O42*'Tables and Calculations'!C7)</f>
        <v>0</v>
      </c>
    </row>
    <row r="43" spans="1:23" ht="21" customHeight="1" thickBot="1">
      <c r="A43" s="499" t="s">
        <v>88</v>
      </c>
      <c r="B43" s="245"/>
      <c r="C43" s="443"/>
      <c r="D43" s="443"/>
      <c r="E43" s="443"/>
      <c r="F43" s="443"/>
      <c r="G43" s="443"/>
      <c r="H43" s="443"/>
      <c r="I43" s="443"/>
      <c r="J43" s="443"/>
      <c r="K43" s="443"/>
      <c r="L43" s="443"/>
      <c r="M43" s="443"/>
      <c r="N43" s="443"/>
      <c r="O43" s="445">
        <f t="shared" si="7"/>
        <v>0</v>
      </c>
      <c r="R43" s="244">
        <f>(O43*'Tables and Calculations'!C7)</f>
        <v>0</v>
      </c>
    </row>
    <row r="44" spans="1:23" ht="21" customHeight="1" thickBot="1">
      <c r="A44" s="499" t="s">
        <v>280</v>
      </c>
      <c r="B44" s="245"/>
      <c r="C44" s="443"/>
      <c r="D44" s="443"/>
      <c r="E44" s="443"/>
      <c r="F44" s="443"/>
      <c r="G44" s="443"/>
      <c r="H44" s="443"/>
      <c r="I44" s="443"/>
      <c r="J44" s="443"/>
      <c r="K44" s="443"/>
      <c r="L44" s="443"/>
      <c r="M44" s="443"/>
      <c r="N44" s="443"/>
      <c r="O44" s="445">
        <f t="shared" si="7"/>
        <v>0</v>
      </c>
      <c r="R44" s="244">
        <f>(O44*'Tables and Calculations'!C7)</f>
        <v>0</v>
      </c>
      <c r="W44" s="246"/>
    </row>
    <row r="45" spans="1:23" ht="21" customHeight="1" thickBot="1">
      <c r="A45" s="499" t="s">
        <v>281</v>
      </c>
      <c r="B45" s="245"/>
      <c r="C45" s="443"/>
      <c r="D45" s="443"/>
      <c r="E45" s="443"/>
      <c r="F45" s="443"/>
      <c r="G45" s="443"/>
      <c r="H45" s="443"/>
      <c r="I45" s="443"/>
      <c r="J45" s="443"/>
      <c r="K45" s="443"/>
      <c r="L45" s="443"/>
      <c r="M45" s="443"/>
      <c r="N45" s="443"/>
      <c r="O45" s="445">
        <f t="shared" si="7"/>
        <v>0</v>
      </c>
      <c r="R45" s="244">
        <f>(O45*'Tables and Calculations'!C7)</f>
        <v>0</v>
      </c>
    </row>
    <row r="46" spans="1:23" ht="21" customHeight="1" thickBot="1">
      <c r="A46" s="499"/>
      <c r="B46" s="245"/>
      <c r="C46" s="443"/>
      <c r="D46" s="443"/>
      <c r="E46" s="443"/>
      <c r="F46" s="443"/>
      <c r="G46" s="443"/>
      <c r="H46" s="443"/>
      <c r="I46" s="443"/>
      <c r="J46" s="443"/>
      <c r="K46" s="443"/>
      <c r="L46" s="443"/>
      <c r="M46" s="443"/>
      <c r="N46" s="443"/>
      <c r="O46" s="445">
        <f t="shared" si="7"/>
        <v>0</v>
      </c>
      <c r="R46" s="244">
        <f>(O46*'Tables and Calculations'!C7)</f>
        <v>0</v>
      </c>
    </row>
    <row r="47" spans="1:23" ht="21" customHeight="1" thickBot="1">
      <c r="A47" s="500" t="s">
        <v>282</v>
      </c>
      <c r="B47" s="245"/>
      <c r="C47" s="247" t="e">
        <f>C12*'Sales Details'!M5/100*'Sales Details'!J5</f>
        <v>#VALUE!</v>
      </c>
      <c r="D47" s="247" t="e">
        <f>D12*'Sales Details'!M5/100*'Sales Details'!J5</f>
        <v>#VALUE!</v>
      </c>
      <c r="E47" s="247" t="e">
        <f>E12*'Sales Details'!M5/100*'Sales Details'!J5</f>
        <v>#VALUE!</v>
      </c>
      <c r="F47" s="247" t="e">
        <f>F12*'Sales Details'!M5/100*'Sales Details'!J5</f>
        <v>#VALUE!</v>
      </c>
      <c r="G47" s="247" t="e">
        <f>G12*'Sales Details'!M5/100*'Sales Details'!J5</f>
        <v>#VALUE!</v>
      </c>
      <c r="H47" s="247" t="e">
        <f>H12*'Sales Details'!M5/100*'Sales Details'!J5</f>
        <v>#VALUE!</v>
      </c>
      <c r="I47" s="247" t="e">
        <f>I12*'Sales Details'!M5/100*'Sales Details'!J5</f>
        <v>#VALUE!</v>
      </c>
      <c r="J47" s="247" t="e">
        <f>J12*'Sales Details'!M5/100*'Sales Details'!J5</f>
        <v>#VALUE!</v>
      </c>
      <c r="K47" s="247" t="e">
        <f>K12*'Sales Details'!M5/100*'Sales Details'!J5</f>
        <v>#VALUE!</v>
      </c>
      <c r="L47" s="247" t="e">
        <f>L12*'Sales Details'!M5/100*'Sales Details'!J5</f>
        <v>#VALUE!</v>
      </c>
      <c r="M47" s="247" t="e">
        <f>M12*'Sales Details'!M5/100*'Sales Details'!J5</f>
        <v>#VALUE!</v>
      </c>
      <c r="N47" s="248" t="e">
        <f>N12*'Sales Details'!M5/100*'Sales Details'!J5</f>
        <v>#VALUE!</v>
      </c>
      <c r="O47" s="445" t="e">
        <f t="shared" si="7"/>
        <v>#VALUE!</v>
      </c>
      <c r="R47" s="244" t="e">
        <f>(O47*'Tables and Calculations'!C7)</f>
        <v>#VALUE!</v>
      </c>
    </row>
    <row r="48" spans="1:23" ht="21" customHeight="1" thickBot="1">
      <c r="A48" s="499"/>
      <c r="B48" s="223"/>
      <c r="C48" s="443"/>
      <c r="D48" s="443"/>
      <c r="E48" s="443"/>
      <c r="F48" s="443"/>
      <c r="G48" s="443"/>
      <c r="H48" s="443"/>
      <c r="I48" s="443"/>
      <c r="J48" s="443"/>
      <c r="K48" s="443"/>
      <c r="L48" s="443"/>
      <c r="M48" s="443"/>
      <c r="N48" s="443"/>
      <c r="O48" s="445">
        <f t="shared" si="7"/>
        <v>0</v>
      </c>
      <c r="R48" s="244">
        <f>(O48*'Tables and Calculations'!C7)</f>
        <v>0</v>
      </c>
    </row>
    <row r="49" spans="1:23" ht="21" customHeight="1" thickBot="1">
      <c r="A49" s="499"/>
      <c r="B49" s="223"/>
      <c r="C49" s="443"/>
      <c r="D49" s="443"/>
      <c r="E49" s="443"/>
      <c r="F49" s="443"/>
      <c r="G49" s="443"/>
      <c r="H49" s="443"/>
      <c r="I49" s="443"/>
      <c r="J49" s="443"/>
      <c r="K49" s="443"/>
      <c r="L49" s="443"/>
      <c r="M49" s="443"/>
      <c r="N49" s="443"/>
      <c r="O49" s="445">
        <f t="shared" si="7"/>
        <v>0</v>
      </c>
      <c r="R49" s="244">
        <f>(O49*'Tables and Calculations'!C7)</f>
        <v>0</v>
      </c>
    </row>
    <row r="50" spans="1:23" ht="21" customHeight="1" thickBot="1">
      <c r="A50" s="499"/>
      <c r="B50" s="223"/>
      <c r="C50" s="443"/>
      <c r="D50" s="443"/>
      <c r="E50" s="443"/>
      <c r="F50" s="443"/>
      <c r="G50" s="443"/>
      <c r="H50" s="443"/>
      <c r="I50" s="443"/>
      <c r="J50" s="443"/>
      <c r="K50" s="443"/>
      <c r="L50" s="443"/>
      <c r="M50" s="443"/>
      <c r="N50" s="443"/>
      <c r="O50" s="445">
        <f t="shared" si="7"/>
        <v>0</v>
      </c>
      <c r="R50" s="244">
        <f>(O50*'Tables and Calculations'!C7)</f>
        <v>0</v>
      </c>
    </row>
    <row r="51" spans="1:23" ht="21" customHeight="1" thickBot="1">
      <c r="A51" s="499"/>
      <c r="B51" s="223"/>
      <c r="C51" s="443"/>
      <c r="D51" s="443"/>
      <c r="E51" s="443"/>
      <c r="F51" s="443"/>
      <c r="G51" s="443"/>
      <c r="H51" s="443"/>
      <c r="I51" s="443"/>
      <c r="J51" s="443"/>
      <c r="K51" s="443"/>
      <c r="L51" s="443"/>
      <c r="M51" s="443"/>
      <c r="N51" s="443"/>
      <c r="O51" s="445">
        <f t="shared" si="7"/>
        <v>0</v>
      </c>
      <c r="R51" s="244">
        <f>(O51*'Tables and Calculations'!C7)</f>
        <v>0</v>
      </c>
      <c r="T51" s="249"/>
      <c r="U51" s="249"/>
      <c r="V51" s="249"/>
      <c r="W51" s="249"/>
    </row>
    <row r="52" spans="1:23" ht="21" customHeight="1" thickBot="1">
      <c r="A52" s="499"/>
      <c r="B52" s="223"/>
      <c r="C52" s="443"/>
      <c r="D52" s="443"/>
      <c r="E52" s="443"/>
      <c r="F52" s="443"/>
      <c r="G52" s="443"/>
      <c r="H52" s="443"/>
      <c r="I52" s="443"/>
      <c r="J52" s="443"/>
      <c r="K52" s="443"/>
      <c r="L52" s="443"/>
      <c r="M52" s="443"/>
      <c r="N52" s="443"/>
      <c r="O52" s="445">
        <f t="shared" si="7"/>
        <v>0</v>
      </c>
      <c r="R52" s="244">
        <f>(O52*'Tables and Calculations'!C7)</f>
        <v>0</v>
      </c>
      <c r="S52" s="680" t="s">
        <v>283</v>
      </c>
      <c r="T52" s="680" t="s">
        <v>34</v>
      </c>
      <c r="U52" s="680" t="s">
        <v>100</v>
      </c>
      <c r="V52" s="680" t="s">
        <v>284</v>
      </c>
      <c r="W52" s="680" t="s">
        <v>102</v>
      </c>
    </row>
    <row r="53" spans="1:23" ht="30.75" customHeight="1" thickBot="1">
      <c r="A53" s="422" t="s">
        <v>285</v>
      </c>
      <c r="B53" s="250"/>
      <c r="C53" s="422" t="str">
        <f>'Tables and Calculations'!B2</f>
        <v>Jan</v>
      </c>
      <c r="D53" s="422" t="str">
        <f>'Tables and Calculations'!C2</f>
        <v>Feb</v>
      </c>
      <c r="E53" s="422" t="str">
        <f>'Tables and Calculations'!D2</f>
        <v>Mar</v>
      </c>
      <c r="F53" s="422" t="str">
        <f>'Tables and Calculations'!E2</f>
        <v>Apr</v>
      </c>
      <c r="G53" s="422" t="str">
        <f>'Tables and Calculations'!F2</f>
        <v>May</v>
      </c>
      <c r="H53" s="422" t="str">
        <f>'Tables and Calculations'!G2</f>
        <v>Jun</v>
      </c>
      <c r="I53" s="422" t="str">
        <f>'Tables and Calculations'!H2</f>
        <v>Jul</v>
      </c>
      <c r="J53" s="422" t="str">
        <f>'Tables and Calculations'!I2</f>
        <v>Aug</v>
      </c>
      <c r="K53" s="422" t="str">
        <f>'Tables and Calculations'!J2</f>
        <v>Sep</v>
      </c>
      <c r="L53" s="422" t="str">
        <f>'Tables and Calculations'!K2</f>
        <v>Oct</v>
      </c>
      <c r="M53" s="422" t="str">
        <f>'Tables and Calculations'!L2</f>
        <v>Nov</v>
      </c>
      <c r="N53" s="422" t="str">
        <f>'Tables and Calculations'!M2</f>
        <v>Dec</v>
      </c>
      <c r="O53" s="422" t="s">
        <v>60</v>
      </c>
      <c r="P53" s="422" t="s">
        <v>286</v>
      </c>
      <c r="Q53" s="422"/>
      <c r="R53" s="251"/>
      <c r="S53" s="681"/>
      <c r="T53" s="681"/>
      <c r="U53" s="681"/>
      <c r="V53" s="681"/>
      <c r="W53" s="681"/>
    </row>
    <row r="54" spans="1:23" ht="21" customHeight="1" thickBot="1">
      <c r="A54" s="496" t="s">
        <v>287</v>
      </c>
      <c r="B54" s="245"/>
      <c r="C54" s="443">
        <f t="shared" ref="C54:C57" si="8">IF(S54="Monthly",T54,IF(S54="Quarterly",U54,IF(S54="Bi-Annually",V54,IF(S54="Annually",W54))))</f>
        <v>0</v>
      </c>
      <c r="D54" s="443">
        <f t="shared" ref="D54:D57" si="9">IF(S54="Monthly",T54,IF(T54="Quarterly",0,IF(S54="Bi-Annually",0,IF(T54="Annually",0,))))</f>
        <v>0</v>
      </c>
      <c r="E54" s="443">
        <f t="shared" ref="E54:E57" si="10">IF(S54="Monthly",T54,IF(T54="Quarterly",0,IF(S54="Bi-Annually",0,IF(T54="Annually",0,))))</f>
        <v>0</v>
      </c>
      <c r="F54" s="443">
        <f t="shared" ref="F54:F57" si="11">IF(S54="Monthly",T54,IF(S54="Quarterly",U54,IF(S54="Bi-Annually",0,IF(S54="Annually",0))))</f>
        <v>0</v>
      </c>
      <c r="G54" s="443">
        <f t="shared" ref="G54:G57" si="12">IF(S54="Monthly",T54,IF(S54="Quarterly",0,IF(S54="Bi-Annually",0,IF(W54="Annually",0,))))</f>
        <v>0</v>
      </c>
      <c r="H54" s="443">
        <f t="shared" ref="H54:H57" si="13">IF(S54="Monthly",T54,IF(S54="Quarterly",0,IF(S54="Bi-Annually",0,IF(S54="Annually",0,))))</f>
        <v>0</v>
      </c>
      <c r="I54" s="443">
        <f t="shared" ref="I54:I57" si="14">IF(S54="Monthly",T54,IF(S54="Quarterly",T54,IF(S54="Bi-Annually",V54,IF(S54="Annually",0))))</f>
        <v>0</v>
      </c>
      <c r="J54" s="443">
        <f t="shared" ref="J54:J57" si="15">IF(S54="Monthly",T54,IF(S54="Quarterly",0,IF(S54="Bi-Annually",0,IF(S54="Annually",0,))))</f>
        <v>0</v>
      </c>
      <c r="K54" s="443">
        <f t="shared" ref="K54:K57" si="16">IF(S54="Monthly",T54,IF(S54="Quarterly",0,IF(S54="Bi-Annually",0,IF(S54="Annually",0,))))</f>
        <v>0</v>
      </c>
      <c r="L54" s="443">
        <f t="shared" ref="L54:L57" si="17">IF(S54="Monthly",T54,IF(S54="Quarterly",T54,IF(S54="Bi-Annually",0,IF(S54="Annually",0))))</f>
        <v>0</v>
      </c>
      <c r="M54" s="443">
        <f t="shared" ref="M54:M57" si="18">IF(S54="Monthly",T54,IF(S54="Quarterly",0,IF(S54="Bi-Annually",0,IF(S54="Annually",0,))))</f>
        <v>0</v>
      </c>
      <c r="N54" s="443">
        <f t="shared" ref="N54:N57" si="19">IF(S54="Monthly",T54,IF(S54="Quarterly",0,IF(S54="Bi-Annually",0,IF(S54="Annually",0,))))</f>
        <v>0</v>
      </c>
      <c r="O54" s="445">
        <f>SUM(C54:N54)</f>
        <v>0</v>
      </c>
      <c r="P54" s="481">
        <f>'Personal Cash Flow Budget Y1'!V44</f>
        <v>0</v>
      </c>
      <c r="Q54" s="252" t="str">
        <f>IF(P54=0,"There is no business cost for this expense ",IF(P54=(100%-'Personal Cash Flow Budget Y1'!Q44),"% share OK","error in % business allocation"))</f>
        <v xml:space="preserve">There is no business cost for this expense </v>
      </c>
      <c r="R54" s="253">
        <f>(O54*'Tables and Calculations'!C7)</f>
        <v>0</v>
      </c>
      <c r="S54" s="254" t="str">
        <f>'Personal Cash Flow Budget Y1'!P44</f>
        <v>Monthly</v>
      </c>
      <c r="T54" s="255">
        <f>'Personal Cash Flow Budget Y1'!W44</f>
        <v>0</v>
      </c>
      <c r="U54" s="255">
        <f>'Personal Cash Flow Budget Y1'!X44</f>
        <v>0</v>
      </c>
      <c r="V54" s="255">
        <f>'Personal Cash Flow Budget Y1'!Y44</f>
        <v>0</v>
      </c>
      <c r="W54" s="255">
        <f>'Personal Cash Flow Budget Y1'!Y44</f>
        <v>0</v>
      </c>
    </row>
    <row r="55" spans="1:23" ht="21" customHeight="1" thickBot="1">
      <c r="A55" s="496" t="s">
        <v>105</v>
      </c>
      <c r="B55" s="245"/>
      <c r="C55" s="443">
        <f t="shared" si="8"/>
        <v>0</v>
      </c>
      <c r="D55" s="443">
        <f t="shared" si="9"/>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5">
        <f t="shared" ref="O55:O73" si="20">SUM(C55:N55)</f>
        <v>0</v>
      </c>
      <c r="P55" s="481">
        <f>'Personal Cash Flow Budget Y1'!V45</f>
        <v>0</v>
      </c>
      <c r="Q55" s="256" t="str">
        <f>IF(P55=0,"There is no business cost for this expense ",IF(P55=(100%-'Personal Cash Flow Budget Y1'!Q45),"% share OK","error in % business allocation"))</f>
        <v xml:space="preserve">There is no business cost for this expense </v>
      </c>
      <c r="R55" s="253">
        <f>(O55*'Tables and Calculations'!C7)</f>
        <v>0</v>
      </c>
      <c r="S55" s="254" t="str">
        <f>'Personal Cash Flow Budget Y1'!P45</f>
        <v>Monthly</v>
      </c>
      <c r="T55" s="255">
        <f>'Personal Cash Flow Budget Y1'!W45</f>
        <v>0</v>
      </c>
      <c r="U55" s="255">
        <f>'Personal Cash Flow Budget Y1'!X45</f>
        <v>0</v>
      </c>
      <c r="V55" s="255">
        <f>'Personal Cash Flow Budget Y1'!Y45</f>
        <v>0</v>
      </c>
      <c r="W55" s="255">
        <f>'Personal Cash Flow Budget Y1'!Y45</f>
        <v>0</v>
      </c>
    </row>
    <row r="56" spans="1:23" ht="21" customHeight="1" thickBot="1">
      <c r="A56" s="496" t="s">
        <v>106</v>
      </c>
      <c r="B56" s="245"/>
      <c r="C56" s="443">
        <f t="shared" si="8"/>
        <v>0</v>
      </c>
      <c r="D56" s="443">
        <f t="shared" si="9"/>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5">
        <f t="shared" si="20"/>
        <v>0</v>
      </c>
      <c r="P56" s="481">
        <f>'Personal Cash Flow Budget Y1'!V46</f>
        <v>0</v>
      </c>
      <c r="Q56" s="256" t="str">
        <f>IF(P56=0,"There is no business cost for this expense ",IF(P56=(100%-'Personal Cash Flow Budget Y1'!Q46),"% share OK","error in % business allocation"))</f>
        <v xml:space="preserve">There is no business cost for this expense </v>
      </c>
      <c r="R56" s="253">
        <f>(O56*'Tables and Calculations'!C7)</f>
        <v>0</v>
      </c>
      <c r="S56" s="254" t="str">
        <f>'Personal Cash Flow Budget Y1'!P46</f>
        <v>Monthly</v>
      </c>
      <c r="T56" s="255">
        <f>'Personal Cash Flow Budget Y1'!W46</f>
        <v>0</v>
      </c>
      <c r="U56" s="255">
        <f>'Personal Cash Flow Budget Y1'!X46</f>
        <v>0</v>
      </c>
      <c r="V56" s="255">
        <f>'Personal Cash Flow Budget Y1'!Y46</f>
        <v>0</v>
      </c>
      <c r="W56" s="255">
        <f>'Personal Cash Flow Budget Y1'!Y46</f>
        <v>0</v>
      </c>
    </row>
    <row r="57" spans="1:23" ht="21" customHeight="1" thickBot="1">
      <c r="A57" s="496" t="s">
        <v>107</v>
      </c>
      <c r="B57" s="245"/>
      <c r="C57" s="443">
        <f t="shared" si="8"/>
        <v>0</v>
      </c>
      <c r="D57" s="443">
        <f t="shared" si="9"/>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5">
        <f t="shared" si="20"/>
        <v>0</v>
      </c>
      <c r="P57" s="481">
        <f>'Personal Cash Flow Budget Y1'!V47</f>
        <v>0</v>
      </c>
      <c r="Q57" s="256" t="str">
        <f>IF(P57=0,"There is no business cost for this expense ",IF(P57=(100%-'Personal Cash Flow Budget Y1'!Q47),"% share OK","error in % business allocation"))</f>
        <v xml:space="preserve">There is no business cost for this expense </v>
      </c>
      <c r="R57" s="253">
        <f>(O57*'Tables and Calculations'!C7)</f>
        <v>0</v>
      </c>
      <c r="S57" s="254" t="str">
        <f>'Personal Cash Flow Budget Y1'!P47</f>
        <v>Monthly</v>
      </c>
      <c r="T57" s="255">
        <f>'Personal Cash Flow Budget Y1'!W47</f>
        <v>0</v>
      </c>
      <c r="U57" s="255">
        <f>'Personal Cash Flow Budget Y1'!X47</f>
        <v>0</v>
      </c>
      <c r="V57" s="255">
        <f>'Personal Cash Flow Budget Y1'!Y47</f>
        <v>0</v>
      </c>
      <c r="W57" s="255">
        <f>'Personal Cash Flow Budget Y1'!Y47</f>
        <v>0</v>
      </c>
    </row>
    <row r="58" spans="1:23" ht="21" customHeight="1" thickBot="1">
      <c r="A58" s="496" t="s">
        <v>288</v>
      </c>
      <c r="B58" s="245"/>
      <c r="C58" s="443">
        <f>IF(S58="Monthly",T58,IF(S58="Quarterly",U58,IF(S58="Bi-Annually",V58,IF(S58="Annually",W58))))</f>
        <v>0</v>
      </c>
      <c r="D58" s="443">
        <f>IF(S58="Monthly",T58,IF(T58="Quarterly",0,IF(S58="Bi-Annually",0,IF(T58="Annually",0,))))</f>
        <v>0</v>
      </c>
      <c r="E58" s="443">
        <f>IF(S58="Monthly",T58,IF(T58="Quarterly",0,IF(S58="Bi-Annually",0,IF(T58="Annually",0,))))</f>
        <v>0</v>
      </c>
      <c r="F58" s="443">
        <f>IF(S58="Monthly",T58,IF(S58="Quarterly",U58,IF(S58="Bi-Annually",0,IF(S58="Annually",0))))</f>
        <v>0</v>
      </c>
      <c r="G58" s="443">
        <f>IF(S58="Monthly",T58,IF(S58="Quarterly",0,IF(S58="Bi-Annually",0,IF(W58="Annually",0,))))</f>
        <v>0</v>
      </c>
      <c r="H58" s="443">
        <f>IF(S58="Monthly",T58,IF(S58="Quarterly",0,IF(S58="Bi-Annually",0,IF(S58="Annually",0,))))</f>
        <v>0</v>
      </c>
      <c r="I58" s="443">
        <f>IF(S58="Monthly",T58,IF(S58="Quarterly",T58,IF(S58="Bi-Annually",V58,IF(S58="Annually",0))))</f>
        <v>0</v>
      </c>
      <c r="J58" s="443">
        <f>IF(S58="Monthly",T58,IF(S58="Quarterly",0,IF(S58="Bi-Annually",0,IF(S58="Annually",0,))))</f>
        <v>0</v>
      </c>
      <c r="K58" s="443">
        <f>IF(S58="Monthly",T58,IF(S58="Quarterly",0,IF(S58="Bi-Annually",0,IF(S58="Annually",0,))))</f>
        <v>0</v>
      </c>
      <c r="L58" s="443">
        <f>IF(S58="Monthly",T58,IF(S58="Quarterly",T58,IF(S58="Bi-Annually",0,IF(S58="Annually",0))))</f>
        <v>0</v>
      </c>
      <c r="M58" s="443">
        <f>IF(S58="Monthly",T58,IF(S58="Quarterly",0,IF(S58="Bi-Annually",0,IF(S58="Annually",0,))))</f>
        <v>0</v>
      </c>
      <c r="N58" s="443">
        <f>IF(S58="Monthly",T58,IF(S58="Quarterly",0,IF(S58="Bi-Annually",0,IF(S58="Annually",0,))))</f>
        <v>0</v>
      </c>
      <c r="O58" s="445">
        <f t="shared" si="20"/>
        <v>0</v>
      </c>
      <c r="P58" s="481">
        <f>'Personal Cash Flow Budget Y1'!V48</f>
        <v>0</v>
      </c>
      <c r="Q58" s="256" t="str">
        <f>IF(P58=0,"There is no business cost for this expense ",IF(P58=(100%-'Personal Cash Flow Budget Y1'!Q48),"% share OK","error in % business allocation"))</f>
        <v xml:space="preserve">There is no business cost for this expense </v>
      </c>
      <c r="R58" s="253">
        <f>(O58*'Tables and Calculations'!C7)</f>
        <v>0</v>
      </c>
      <c r="S58" s="254" t="str">
        <f>'Personal Cash Flow Budget Y1'!P48</f>
        <v>Monthly</v>
      </c>
      <c r="T58" s="255">
        <f>'Personal Cash Flow Budget Y1'!W48</f>
        <v>0</v>
      </c>
      <c r="U58" s="255">
        <f>'Personal Cash Flow Budget Y1'!X48</f>
        <v>0</v>
      </c>
      <c r="V58" s="255">
        <f>'Personal Cash Flow Budget Y1'!Y48</f>
        <v>0</v>
      </c>
      <c r="W58" s="255">
        <f>'Personal Cash Flow Budget Y1'!Y48</f>
        <v>0</v>
      </c>
    </row>
    <row r="59" spans="1:23" ht="21" customHeight="1" thickBot="1">
      <c r="A59" s="496" t="s">
        <v>109</v>
      </c>
      <c r="B59" s="245"/>
      <c r="C59" s="443">
        <f>IF(S59="Monthly",T59,IF(S59="Quarterly",U59,IF(S59="Bi-Annually",V59,IF(S59="Annually",W59))))</f>
        <v>0</v>
      </c>
      <c r="D59" s="443">
        <f>IF(S59="Monthly",T59,IF(T59="Quarterly",0,IF(S59="Bi-Annually",0,IF(T59="Annually",0,))))</f>
        <v>0</v>
      </c>
      <c r="E59" s="443">
        <f>IF(S59="Monthly",T59,IF(T59="Quarterly",0,IF(S59="Bi-Annually",0,IF(T59="Annually",0,))))</f>
        <v>0</v>
      </c>
      <c r="F59" s="443">
        <f>IF(S59="Monthly",T59,IF(S59="Quarterly",U59,IF(S59="Bi-Annually",0,IF(S59="Annually",0))))</f>
        <v>0</v>
      </c>
      <c r="G59" s="443">
        <f>IF(S59="Monthly",T59,IF(S59="Quarterly",0,IF(S59="Bi-Annually",0,IF(W59="Annually",0,))))</f>
        <v>0</v>
      </c>
      <c r="H59" s="443">
        <f>IF(S59="Monthly",T59,IF(S59="Quarterly",0,IF(S59="Bi-Annually",0,IF(S59="Annually",0,))))</f>
        <v>0</v>
      </c>
      <c r="I59" s="443">
        <f>IF(S59="Monthly",T59,IF(S59="Quarterly",T59,IF(S59="Bi-Annually",V59,IF(S59="Annually",0))))</f>
        <v>0</v>
      </c>
      <c r="J59" s="443">
        <f>IF(S59="Monthly",T59,IF(S59="Quarterly",0,IF(S59="Bi-Annually",0,IF(S59="Annually",0,))))</f>
        <v>0</v>
      </c>
      <c r="K59" s="443">
        <f>IF(S59="Monthly",T59,IF(S59="Quarterly",0,IF(S59="Bi-Annually",0,IF(S59="Annually",0,))))</f>
        <v>0</v>
      </c>
      <c r="L59" s="443">
        <f>IF(S59="Monthly",T59,IF(S59="Quarterly",T59,IF(S59="Bi-Annually",0,IF(S59="Annually",0))))</f>
        <v>0</v>
      </c>
      <c r="M59" s="443">
        <f>IF(S59="Monthly",T59,IF(S59="Quarterly",0,IF(S59="Bi-Annually",0,IF(S59="Annually",0,))))</f>
        <v>0</v>
      </c>
      <c r="N59" s="443">
        <f>IF(S59="Monthly",T59,IF(S59="Quarterly",0,IF(S59="Bi-Annually",0,IF(S59="Annually",0,))))</f>
        <v>0</v>
      </c>
      <c r="O59" s="445">
        <f t="shared" si="20"/>
        <v>0</v>
      </c>
      <c r="P59" s="481">
        <f>'Personal Cash Flow Budget Y1'!V49</f>
        <v>0</v>
      </c>
      <c r="Q59" s="256" t="str">
        <f>IF(P59=0,"There is no business cost for this expense ",IF(P59=(100%-'Personal Cash Flow Budget Y1'!Q49),"% share OK","error in % business allocation"))</f>
        <v xml:space="preserve">There is no business cost for this expense </v>
      </c>
      <c r="R59" s="253">
        <f>(O59*'Tables and Calculations'!C7)</f>
        <v>0</v>
      </c>
      <c r="S59" s="254" t="str">
        <f>'Personal Cash Flow Budget Y1'!P49</f>
        <v>Monthly</v>
      </c>
      <c r="T59" s="255">
        <f>'Personal Cash Flow Budget Y1'!W49</f>
        <v>0</v>
      </c>
      <c r="U59" s="255">
        <f>'Personal Cash Flow Budget Y1'!X49</f>
        <v>0</v>
      </c>
      <c r="V59" s="255">
        <f>'Personal Cash Flow Budget Y1'!Y49</f>
        <v>0</v>
      </c>
      <c r="W59" s="255">
        <f>'Personal Cash Flow Budget Y1'!Y49</f>
        <v>0</v>
      </c>
    </row>
    <row r="60" spans="1:23" ht="21" customHeight="1" thickBot="1">
      <c r="A60" s="496" t="s">
        <v>110</v>
      </c>
      <c r="B60" s="245"/>
      <c r="C60" s="443">
        <f t="shared" ref="C60:C67" si="21">IF(S60="Monthly",T60,IF(S60="Quarterly",U60,IF(S60="Bi-Annually",V60,IF(S60="Annually",W60))))</f>
        <v>0</v>
      </c>
      <c r="D60" s="443">
        <f t="shared" ref="D60:D67" si="22">IF(S60="Monthly",T60,IF(T60="Quarterly",0,IF(S60="Bi-Annually",0,IF(T60="Annually",0,))))</f>
        <v>0</v>
      </c>
      <c r="E60" s="443">
        <f t="shared" ref="E60:E67" si="23">IF(S60="Monthly",T60,IF(T60="Quarterly",0,IF(S60="Bi-Annually",0,IF(T60="Annually",0,))))</f>
        <v>0</v>
      </c>
      <c r="F60" s="443">
        <f t="shared" ref="F60:F67" si="24">IF(S60="Monthly",T60,IF(S60="Quarterly",U60,IF(S60="Bi-Annually",0,IF(S60="Annually",0))))</f>
        <v>0</v>
      </c>
      <c r="G60" s="443">
        <f t="shared" ref="G60:G67" si="25">IF(S60="Monthly",T60,IF(S60="Quarterly",0,IF(S60="Bi-Annually",0,IF(W60="Annually",0,))))</f>
        <v>0</v>
      </c>
      <c r="H60" s="443">
        <f t="shared" ref="H60:H67" si="26">IF(S60="Monthly",T60,IF(S60="Quarterly",0,IF(S60="Bi-Annually",0,IF(S60="Annually",0,))))</f>
        <v>0</v>
      </c>
      <c r="I60" s="443">
        <f t="shared" ref="I60:I67" si="27">IF(S60="Monthly",T60,IF(S60="Quarterly",T60,IF(S60="Bi-Annually",V60,IF(S60="Annually",0))))</f>
        <v>0</v>
      </c>
      <c r="J60" s="443">
        <f t="shared" ref="J60:J67" si="28">IF(S60="Monthly",T60,IF(S60="Quarterly",0,IF(S60="Bi-Annually",0,IF(S60="Annually",0,))))</f>
        <v>0</v>
      </c>
      <c r="K60" s="443">
        <f t="shared" ref="K60:K67" si="29">IF(S60="Monthly",T60,IF(S60="Quarterly",0,IF(S60="Bi-Annually",0,IF(S60="Annually",0,))))</f>
        <v>0</v>
      </c>
      <c r="L60" s="443">
        <f t="shared" ref="L60:L67" si="30">IF(S60="Monthly",T60,IF(S60="Quarterly",T60,IF(S60="Bi-Annually",0,IF(S60="Annually",0))))</f>
        <v>0</v>
      </c>
      <c r="M60" s="443">
        <f t="shared" ref="M60:M67" si="31">IF(S60="Monthly",T60,IF(S60="Quarterly",0,IF(S60="Bi-Annually",0,IF(S60="Annually",0,))))</f>
        <v>0</v>
      </c>
      <c r="N60" s="443">
        <f t="shared" ref="N60:N67" si="32">IF(S60="Monthly",T60,IF(S60="Quarterly",0,IF(S60="Bi-Annually",0,IF(S60="Annually",0,))))</f>
        <v>0</v>
      </c>
      <c r="O60" s="445">
        <f t="shared" si="20"/>
        <v>0</v>
      </c>
      <c r="P60" s="481">
        <f>'Personal Cash Flow Budget Y1'!V50</f>
        <v>0</v>
      </c>
      <c r="Q60" s="256" t="str">
        <f>IF(P60=0,"There is no business cost for this expense ",IF(P60=(100%-'Personal Cash Flow Budget Y1'!Q50),"% share OK","error in % business allocation"))</f>
        <v xml:space="preserve">There is no business cost for this expense </v>
      </c>
      <c r="R60" s="253">
        <f>(O60*'Tables and Calculations'!C7)</f>
        <v>0</v>
      </c>
      <c r="S60" s="254" t="str">
        <f>'Personal Cash Flow Budget Y1'!P50</f>
        <v>Monthly</v>
      </c>
      <c r="T60" s="255">
        <f>'Personal Cash Flow Budget Y1'!W50</f>
        <v>0</v>
      </c>
      <c r="U60" s="255">
        <f>'Personal Cash Flow Budget Y1'!X50</f>
        <v>0</v>
      </c>
      <c r="V60" s="255">
        <f>'Personal Cash Flow Budget Y1'!Y50</f>
        <v>0</v>
      </c>
      <c r="W60" s="255">
        <f>'Personal Cash Flow Budget Y1'!Y50</f>
        <v>0</v>
      </c>
    </row>
    <row r="61" spans="1:23" ht="21" customHeight="1" thickBot="1">
      <c r="A61" s="496" t="s">
        <v>289</v>
      </c>
      <c r="B61" s="245"/>
      <c r="C61" s="443">
        <f t="shared" si="21"/>
        <v>0</v>
      </c>
      <c r="D61" s="443">
        <f t="shared" si="22"/>
        <v>0</v>
      </c>
      <c r="E61" s="443">
        <f t="shared" si="23"/>
        <v>0</v>
      </c>
      <c r="F61" s="443">
        <f t="shared" si="24"/>
        <v>0</v>
      </c>
      <c r="G61" s="443">
        <f t="shared" si="25"/>
        <v>0</v>
      </c>
      <c r="H61" s="443">
        <f t="shared" si="26"/>
        <v>0</v>
      </c>
      <c r="I61" s="443">
        <f t="shared" si="27"/>
        <v>0</v>
      </c>
      <c r="J61" s="443">
        <f t="shared" si="28"/>
        <v>0</v>
      </c>
      <c r="K61" s="443">
        <f t="shared" si="29"/>
        <v>0</v>
      </c>
      <c r="L61" s="443">
        <f t="shared" si="30"/>
        <v>0</v>
      </c>
      <c r="M61" s="443">
        <f t="shared" si="31"/>
        <v>0</v>
      </c>
      <c r="N61" s="443">
        <f t="shared" si="32"/>
        <v>0</v>
      </c>
      <c r="O61" s="445">
        <f t="shared" si="20"/>
        <v>0</v>
      </c>
      <c r="P61" s="481">
        <f>'Personal Cash Flow Budget Y1'!V51</f>
        <v>0</v>
      </c>
      <c r="Q61" s="256" t="str">
        <f>IF(P61=0,"There is no business cost for this expense ",IF(P61=(100%-'Personal Cash Flow Budget Y1'!Q51),"% share OK","error in % business allocation"))</f>
        <v xml:space="preserve">There is no business cost for this expense </v>
      </c>
      <c r="R61" s="253">
        <f>(O61*'Tables and Calculations'!C7)</f>
        <v>0</v>
      </c>
      <c r="S61" s="254" t="str">
        <f>'Personal Cash Flow Budget Y1'!P51</f>
        <v>Monthly</v>
      </c>
      <c r="T61" s="255">
        <f>'Personal Cash Flow Budget Y1'!W51</f>
        <v>0</v>
      </c>
      <c r="U61" s="255">
        <f>'Personal Cash Flow Budget Y1'!X51</f>
        <v>0</v>
      </c>
      <c r="V61" s="255">
        <f>'Personal Cash Flow Budget Y1'!Y51</f>
        <v>0</v>
      </c>
      <c r="W61" s="255">
        <f>'Personal Cash Flow Budget Y1'!Y51</f>
        <v>0</v>
      </c>
    </row>
    <row r="62" spans="1:23" ht="21" customHeight="1" thickBot="1">
      <c r="A62" s="496" t="s">
        <v>112</v>
      </c>
      <c r="B62" s="245"/>
      <c r="C62" s="443">
        <f t="shared" si="21"/>
        <v>0</v>
      </c>
      <c r="D62" s="443">
        <f t="shared" si="22"/>
        <v>0</v>
      </c>
      <c r="E62" s="443">
        <f t="shared" si="23"/>
        <v>0</v>
      </c>
      <c r="F62" s="443">
        <f t="shared" si="24"/>
        <v>0</v>
      </c>
      <c r="G62" s="443">
        <f t="shared" si="25"/>
        <v>0</v>
      </c>
      <c r="H62" s="443">
        <f t="shared" si="26"/>
        <v>0</v>
      </c>
      <c r="I62" s="443">
        <f t="shared" si="27"/>
        <v>0</v>
      </c>
      <c r="J62" s="443">
        <f t="shared" si="28"/>
        <v>0</v>
      </c>
      <c r="K62" s="443">
        <f t="shared" si="29"/>
        <v>0</v>
      </c>
      <c r="L62" s="443">
        <f t="shared" si="30"/>
        <v>0</v>
      </c>
      <c r="M62" s="443">
        <f t="shared" si="31"/>
        <v>0</v>
      </c>
      <c r="N62" s="443">
        <f t="shared" si="32"/>
        <v>0</v>
      </c>
      <c r="O62" s="445">
        <f t="shared" si="20"/>
        <v>0</v>
      </c>
      <c r="P62" s="481">
        <f>'Personal Cash Flow Budget Y1'!V52</f>
        <v>0</v>
      </c>
      <c r="Q62" s="256" t="str">
        <f>IF(P62=0,"There is no business cost for this expense ",IF(P62=(100%-'Personal Cash Flow Budget Y1'!Q52),"% share OK","error in % business allocation"))</f>
        <v xml:space="preserve">There is no business cost for this expense </v>
      </c>
      <c r="R62" s="253">
        <f>(O62*'Tables and Calculations'!C7)</f>
        <v>0</v>
      </c>
      <c r="S62" s="254" t="str">
        <f>'Personal Cash Flow Budget Y1'!P52</f>
        <v>Monthly</v>
      </c>
      <c r="T62" s="255">
        <f>'Personal Cash Flow Budget Y1'!W52</f>
        <v>0</v>
      </c>
      <c r="U62" s="255">
        <f>'Personal Cash Flow Budget Y1'!X52</f>
        <v>0</v>
      </c>
      <c r="V62" s="255">
        <f>'Personal Cash Flow Budget Y1'!Y52</f>
        <v>0</v>
      </c>
      <c r="W62" s="255">
        <f>'Personal Cash Flow Budget Y1'!Y52</f>
        <v>0</v>
      </c>
    </row>
    <row r="63" spans="1:23" ht="21" customHeight="1" thickBot="1">
      <c r="A63" s="496" t="s">
        <v>290</v>
      </c>
      <c r="B63" s="245"/>
      <c r="C63" s="443">
        <f t="shared" si="21"/>
        <v>0</v>
      </c>
      <c r="D63" s="443">
        <f t="shared" si="22"/>
        <v>0</v>
      </c>
      <c r="E63" s="443">
        <f t="shared" si="23"/>
        <v>0</v>
      </c>
      <c r="F63" s="443">
        <f t="shared" si="24"/>
        <v>0</v>
      </c>
      <c r="G63" s="443">
        <f t="shared" si="25"/>
        <v>0</v>
      </c>
      <c r="H63" s="443">
        <f t="shared" si="26"/>
        <v>0</v>
      </c>
      <c r="I63" s="443">
        <f t="shared" si="27"/>
        <v>0</v>
      </c>
      <c r="J63" s="443">
        <f t="shared" si="28"/>
        <v>0</v>
      </c>
      <c r="K63" s="443">
        <f t="shared" si="29"/>
        <v>0</v>
      </c>
      <c r="L63" s="443">
        <f t="shared" si="30"/>
        <v>0</v>
      </c>
      <c r="M63" s="443">
        <f t="shared" si="31"/>
        <v>0</v>
      </c>
      <c r="N63" s="443">
        <f t="shared" si="32"/>
        <v>0</v>
      </c>
      <c r="O63" s="445">
        <f t="shared" si="20"/>
        <v>0</v>
      </c>
      <c r="P63" s="481">
        <f>'Personal Cash Flow Budget Y1'!V53</f>
        <v>0</v>
      </c>
      <c r="Q63" s="256" t="str">
        <f>IF(P63=0,"There is no business cost for this expense ",IF(P63=(100%-'Personal Cash Flow Budget Y1'!Q53),"% share OK","error in % business allocation"))</f>
        <v xml:space="preserve">There is no business cost for this expense </v>
      </c>
      <c r="R63" s="253">
        <f>(O63*'Tables and Calculations'!C7)</f>
        <v>0</v>
      </c>
      <c r="S63" s="254" t="str">
        <f>'Personal Cash Flow Budget Y1'!P53</f>
        <v>Monthly</v>
      </c>
      <c r="T63" s="255">
        <f>'Personal Cash Flow Budget Y1'!W53</f>
        <v>0</v>
      </c>
      <c r="U63" s="255">
        <f>'Personal Cash Flow Budget Y1'!X53</f>
        <v>0</v>
      </c>
      <c r="V63" s="255">
        <f>'Personal Cash Flow Budget Y1'!Y53</f>
        <v>0</v>
      </c>
      <c r="W63" s="255">
        <f>'Personal Cash Flow Budget Y1'!Y53</f>
        <v>0</v>
      </c>
    </row>
    <row r="64" spans="1:23" ht="21" customHeight="1" thickBot="1">
      <c r="A64" s="496" t="s">
        <v>114</v>
      </c>
      <c r="B64" s="245"/>
      <c r="C64" s="443">
        <f t="shared" si="21"/>
        <v>0</v>
      </c>
      <c r="D64" s="443">
        <f t="shared" si="22"/>
        <v>0</v>
      </c>
      <c r="E64" s="443">
        <f t="shared" si="23"/>
        <v>0</v>
      </c>
      <c r="F64" s="443">
        <f t="shared" si="24"/>
        <v>0</v>
      </c>
      <c r="G64" s="443">
        <f t="shared" si="25"/>
        <v>0</v>
      </c>
      <c r="H64" s="443">
        <f t="shared" si="26"/>
        <v>0</v>
      </c>
      <c r="I64" s="443">
        <f t="shared" si="27"/>
        <v>0</v>
      </c>
      <c r="J64" s="443">
        <f t="shared" si="28"/>
        <v>0</v>
      </c>
      <c r="K64" s="443">
        <f t="shared" si="29"/>
        <v>0</v>
      </c>
      <c r="L64" s="443">
        <f t="shared" si="30"/>
        <v>0</v>
      </c>
      <c r="M64" s="443">
        <f t="shared" si="31"/>
        <v>0</v>
      </c>
      <c r="N64" s="443">
        <f t="shared" si="32"/>
        <v>0</v>
      </c>
      <c r="O64" s="445">
        <f t="shared" si="20"/>
        <v>0</v>
      </c>
      <c r="P64" s="481">
        <f>'Personal Cash Flow Budget Y1'!V54</f>
        <v>0</v>
      </c>
      <c r="Q64" s="256" t="str">
        <f>IF(P64=0,"There is no business cost for this expense ",IF(P64=(100%-'Personal Cash Flow Budget Y1'!Q54),"% share OK","error in % business allocation"))</f>
        <v xml:space="preserve">There is no business cost for this expense </v>
      </c>
      <c r="R64" s="253">
        <f>(O64*'Tables and Calculations'!C7)</f>
        <v>0</v>
      </c>
      <c r="S64" s="254" t="str">
        <f>'Personal Cash Flow Budget Y1'!P54</f>
        <v>Monthly</v>
      </c>
      <c r="T64" s="255">
        <f>'Personal Cash Flow Budget Y1'!W54</f>
        <v>0</v>
      </c>
      <c r="U64" s="255">
        <f>'Personal Cash Flow Budget Y1'!X54</f>
        <v>0</v>
      </c>
      <c r="V64" s="255">
        <f>'Personal Cash Flow Budget Y1'!Y54</f>
        <v>0</v>
      </c>
      <c r="W64" s="255">
        <f>'Personal Cash Flow Budget Y1'!Y54</f>
        <v>0</v>
      </c>
    </row>
    <row r="65" spans="1:23" ht="21" customHeight="1" thickBot="1">
      <c r="A65" s="496">
        <f>'Personal Cash Flow Budget Y1'!A55</f>
        <v>0</v>
      </c>
      <c r="B65" s="245"/>
      <c r="C65" s="443">
        <f t="shared" si="21"/>
        <v>0</v>
      </c>
      <c r="D65" s="443">
        <f t="shared" si="22"/>
        <v>0</v>
      </c>
      <c r="E65" s="443">
        <f t="shared" si="23"/>
        <v>0</v>
      </c>
      <c r="F65" s="443">
        <f t="shared" si="24"/>
        <v>0</v>
      </c>
      <c r="G65" s="443">
        <f t="shared" si="25"/>
        <v>0</v>
      </c>
      <c r="H65" s="443">
        <f t="shared" si="26"/>
        <v>0</v>
      </c>
      <c r="I65" s="443">
        <f t="shared" si="27"/>
        <v>0</v>
      </c>
      <c r="J65" s="443">
        <f t="shared" si="28"/>
        <v>0</v>
      </c>
      <c r="K65" s="443">
        <f t="shared" si="29"/>
        <v>0</v>
      </c>
      <c r="L65" s="443">
        <f t="shared" si="30"/>
        <v>0</v>
      </c>
      <c r="M65" s="443">
        <f t="shared" si="31"/>
        <v>0</v>
      </c>
      <c r="N65" s="443">
        <f t="shared" si="32"/>
        <v>0</v>
      </c>
      <c r="O65" s="445">
        <f t="shared" si="20"/>
        <v>0</v>
      </c>
      <c r="P65" s="481">
        <f>'Personal Cash Flow Budget Y1'!V55</f>
        <v>0</v>
      </c>
      <c r="Q65" s="256" t="str">
        <f>IF(P65=0,"There is no business cost for this expense ",IF(P65=(100%-'Personal Cash Flow Budget Y1'!Q55),"% share OK","error in % business allocation"))</f>
        <v xml:space="preserve">There is no business cost for this expense </v>
      </c>
      <c r="R65" s="253">
        <f>(O65*'Tables and Calculations'!C7)</f>
        <v>0</v>
      </c>
      <c r="S65" s="254" t="str">
        <f>'Personal Cash Flow Budget Y1'!P55</f>
        <v>Monthly</v>
      </c>
      <c r="T65" s="255">
        <f>'Personal Cash Flow Budget Y1'!W55</f>
        <v>0</v>
      </c>
      <c r="U65" s="255">
        <f>'Personal Cash Flow Budget Y1'!X55</f>
        <v>0</v>
      </c>
      <c r="V65" s="255">
        <f>'Personal Cash Flow Budget Y1'!Y55</f>
        <v>0</v>
      </c>
      <c r="W65" s="255">
        <f>'Personal Cash Flow Budget Y1'!Y55</f>
        <v>0</v>
      </c>
    </row>
    <row r="66" spans="1:23" ht="21" customHeight="1" thickBot="1">
      <c r="A66" s="496" t="str">
        <f>'Personal Cash Flow Budget Y1'!A56</f>
        <v>Total Cash Payments</v>
      </c>
      <c r="B66" s="245"/>
      <c r="C66" s="443" t="b">
        <f t="shared" si="21"/>
        <v>0</v>
      </c>
      <c r="D66" s="443">
        <f t="shared" si="22"/>
        <v>0</v>
      </c>
      <c r="E66" s="443">
        <f t="shared" si="23"/>
        <v>0</v>
      </c>
      <c r="F66" s="443" t="b">
        <f t="shared" si="24"/>
        <v>0</v>
      </c>
      <c r="G66" s="443">
        <f t="shared" si="25"/>
        <v>0</v>
      </c>
      <c r="H66" s="443">
        <f t="shared" si="26"/>
        <v>0</v>
      </c>
      <c r="I66" s="443" t="b">
        <f t="shared" si="27"/>
        <v>0</v>
      </c>
      <c r="J66" s="443">
        <f t="shared" si="28"/>
        <v>0</v>
      </c>
      <c r="K66" s="443">
        <f t="shared" si="29"/>
        <v>0</v>
      </c>
      <c r="L66" s="443" t="b">
        <f t="shared" si="30"/>
        <v>0</v>
      </c>
      <c r="M66" s="443">
        <f t="shared" si="31"/>
        <v>0</v>
      </c>
      <c r="N66" s="443">
        <f t="shared" si="32"/>
        <v>0</v>
      </c>
      <c r="O66" s="445">
        <f t="shared" si="20"/>
        <v>0</v>
      </c>
      <c r="P66" s="481">
        <f>'Personal Cash Flow Budget Y1'!V56</f>
        <v>0</v>
      </c>
      <c r="Q66" s="256" t="str">
        <f>IF(P66=0,"There is no business cost for this expense ",IF(P66=(100%-'Personal Cash Flow Budget Y1'!Q56),"% share OK","error in % business allocation"))</f>
        <v xml:space="preserve">There is no business cost for this expense </v>
      </c>
      <c r="R66" s="253">
        <f>(O66*'Tables and Calculations'!C7)</f>
        <v>0</v>
      </c>
      <c r="S66" s="254">
        <f>'Personal Cash Flow Budget Y1'!P56</f>
        <v>0</v>
      </c>
      <c r="T66" s="255">
        <f>'Personal Cash Flow Budget Y1'!W56</f>
        <v>0</v>
      </c>
      <c r="U66" s="255">
        <f>'Personal Cash Flow Budget Y1'!X56</f>
        <v>0</v>
      </c>
      <c r="V66" s="255">
        <f>'Personal Cash Flow Budget Y1'!Y56</f>
        <v>0</v>
      </c>
      <c r="W66" s="255">
        <f>'Personal Cash Flow Budget Y1'!Y56</f>
        <v>0</v>
      </c>
    </row>
    <row r="67" spans="1:23" ht="21" customHeight="1" thickBot="1">
      <c r="A67" s="496">
        <f>'Personal Cash Flow Budget Y1'!A57</f>
        <v>0</v>
      </c>
      <c r="B67" s="245"/>
      <c r="C67" s="443" t="b">
        <f t="shared" si="21"/>
        <v>0</v>
      </c>
      <c r="D67" s="443">
        <f t="shared" si="22"/>
        <v>0</v>
      </c>
      <c r="E67" s="443">
        <f t="shared" si="23"/>
        <v>0</v>
      </c>
      <c r="F67" s="443" t="b">
        <f t="shared" si="24"/>
        <v>0</v>
      </c>
      <c r="G67" s="443">
        <f t="shared" si="25"/>
        <v>0</v>
      </c>
      <c r="H67" s="443">
        <f t="shared" si="26"/>
        <v>0</v>
      </c>
      <c r="I67" s="443" t="b">
        <f t="shared" si="27"/>
        <v>0</v>
      </c>
      <c r="J67" s="443">
        <f t="shared" si="28"/>
        <v>0</v>
      </c>
      <c r="K67" s="443">
        <f t="shared" si="29"/>
        <v>0</v>
      </c>
      <c r="L67" s="443" t="b">
        <f t="shared" si="30"/>
        <v>0</v>
      </c>
      <c r="M67" s="443">
        <f t="shared" si="31"/>
        <v>0</v>
      </c>
      <c r="N67" s="443">
        <f t="shared" si="32"/>
        <v>0</v>
      </c>
      <c r="O67" s="445">
        <f t="shared" si="20"/>
        <v>0</v>
      </c>
      <c r="P67" s="481">
        <f>'Personal Cash Flow Budget Y1'!V57</f>
        <v>0</v>
      </c>
      <c r="Q67" s="257" t="str">
        <f>IF(P67=0,"There is no business cost for this expense ",IF(P67=(100%-'Personal Cash Flow Budget Y1'!Q57),"% share OK","error in % business allocation"))</f>
        <v xml:space="preserve">There is no business cost for this expense </v>
      </c>
      <c r="R67" s="253">
        <f>(O67*'Tables and Calculations'!C7)</f>
        <v>0</v>
      </c>
      <c r="S67" s="254">
        <f>'Personal Cash Flow Budget Y1'!P57</f>
        <v>0</v>
      </c>
      <c r="T67" s="255">
        <f>'Personal Cash Flow Budget Y1'!W57</f>
        <v>0</v>
      </c>
      <c r="U67" s="255">
        <f>'Personal Cash Flow Budget Y1'!X57</f>
        <v>0</v>
      </c>
      <c r="V67" s="255">
        <f>'Personal Cash Flow Budget Y1'!Y57</f>
        <v>0</v>
      </c>
      <c r="W67" s="255">
        <f>'Personal Cash Flow Budget Y1'!Y57</f>
        <v>0</v>
      </c>
    </row>
    <row r="68" spans="1:23" ht="21" customHeight="1" thickBot="1">
      <c r="A68" s="496" t="s">
        <v>291</v>
      </c>
      <c r="B68" s="502" t="s">
        <v>259</v>
      </c>
      <c r="C68" s="443"/>
      <c r="D68" s="443"/>
      <c r="E68" s="443"/>
      <c r="F68" s="443"/>
      <c r="G68" s="443"/>
      <c r="H68" s="443"/>
      <c r="I68" s="443"/>
      <c r="J68" s="443"/>
      <c r="K68" s="443"/>
      <c r="L68" s="443"/>
      <c r="M68" s="443"/>
      <c r="N68" s="443"/>
      <c r="O68" s="445">
        <f t="shared" si="20"/>
        <v>0</v>
      </c>
      <c r="P68" s="258"/>
      <c r="R68" s="235"/>
    </row>
    <row r="69" spans="1:23" ht="21" customHeight="1" thickBot="1">
      <c r="A69" s="496" t="s">
        <v>292</v>
      </c>
      <c r="B69" s="502" t="s">
        <v>259</v>
      </c>
      <c r="C69" s="443"/>
      <c r="D69" s="443"/>
      <c r="E69" s="443"/>
      <c r="F69" s="443"/>
      <c r="G69" s="443"/>
      <c r="H69" s="443"/>
      <c r="I69" s="443"/>
      <c r="J69" s="443"/>
      <c r="K69" s="443"/>
      <c r="L69" s="443"/>
      <c r="M69" s="443"/>
      <c r="N69" s="443"/>
      <c r="O69" s="445">
        <f t="shared" si="20"/>
        <v>0</v>
      </c>
      <c r="R69" s="235"/>
    </row>
    <row r="70" spans="1:23" ht="21" customHeight="1" thickBot="1">
      <c r="A70" s="496" t="s">
        <v>293</v>
      </c>
      <c r="B70" s="502" t="s">
        <v>259</v>
      </c>
      <c r="C70" s="443"/>
      <c r="D70" s="443"/>
      <c r="E70" s="443"/>
      <c r="F70" s="443"/>
      <c r="G70" s="443"/>
      <c r="H70" s="443"/>
      <c r="I70" s="443"/>
      <c r="J70" s="443"/>
      <c r="K70" s="443"/>
      <c r="L70" s="443"/>
      <c r="M70" s="443"/>
      <c r="N70" s="443"/>
      <c r="O70" s="445">
        <f t="shared" si="20"/>
        <v>0</v>
      </c>
      <c r="R70" s="235"/>
    </row>
    <row r="71" spans="1:23" ht="21" customHeight="1" thickBot="1">
      <c r="A71" s="496" t="s">
        <v>294</v>
      </c>
      <c r="B71" s="501">
        <v>0.105</v>
      </c>
      <c r="C71" s="443">
        <f>IF($B$71&gt;0,ROUND($B$71*(C69+C70),0)," ")</f>
        <v>0</v>
      </c>
      <c r="D71" s="443">
        <f t="shared" ref="D71:N71" si="33">IF($B$71&gt;0,ROUND($B$71*(D69+D70),0)," ")</f>
        <v>0</v>
      </c>
      <c r="E71" s="443">
        <f t="shared" si="33"/>
        <v>0</v>
      </c>
      <c r="F71" s="443">
        <f t="shared" si="33"/>
        <v>0</v>
      </c>
      <c r="G71" s="443">
        <f t="shared" si="33"/>
        <v>0</v>
      </c>
      <c r="H71" s="443">
        <f t="shared" si="33"/>
        <v>0</v>
      </c>
      <c r="I71" s="443">
        <f t="shared" si="33"/>
        <v>0</v>
      </c>
      <c r="J71" s="443">
        <f t="shared" si="33"/>
        <v>0</v>
      </c>
      <c r="K71" s="443">
        <f t="shared" si="33"/>
        <v>0</v>
      </c>
      <c r="L71" s="443">
        <f t="shared" si="33"/>
        <v>0</v>
      </c>
      <c r="M71" s="443">
        <f t="shared" si="33"/>
        <v>0</v>
      </c>
      <c r="N71" s="443">
        <f t="shared" si="33"/>
        <v>0</v>
      </c>
      <c r="O71" s="445">
        <f t="shared" si="20"/>
        <v>0</v>
      </c>
      <c r="R71" s="235"/>
    </row>
    <row r="72" spans="1:23" ht="21" customHeight="1" thickBot="1">
      <c r="A72" s="496"/>
      <c r="B72" s="502" t="s">
        <v>259</v>
      </c>
      <c r="C72" s="443"/>
      <c r="D72" s="443"/>
      <c r="E72" s="443"/>
      <c r="F72" s="443"/>
      <c r="G72" s="443"/>
      <c r="H72" s="443"/>
      <c r="I72" s="443"/>
      <c r="J72" s="443"/>
      <c r="K72" s="443"/>
      <c r="L72" s="443"/>
      <c r="M72" s="443"/>
      <c r="N72" s="443"/>
      <c r="O72" s="445">
        <f t="shared" si="20"/>
        <v>0</v>
      </c>
      <c r="R72" s="235"/>
    </row>
    <row r="73" spans="1:23" ht="21" customHeight="1" thickBot="1">
      <c r="A73" s="496"/>
      <c r="B73" s="502" t="s">
        <v>259</v>
      </c>
      <c r="C73" s="443"/>
      <c r="D73" s="443"/>
      <c r="E73" s="443"/>
      <c r="F73" s="443"/>
      <c r="G73" s="443"/>
      <c r="H73" s="443"/>
      <c r="I73" s="443"/>
      <c r="J73" s="443"/>
      <c r="K73" s="443"/>
      <c r="L73" s="443"/>
      <c r="M73" s="443"/>
      <c r="N73" s="443"/>
      <c r="O73" s="445">
        <f t="shared" si="20"/>
        <v>0</v>
      </c>
      <c r="R73" s="235"/>
      <c r="S73" s="39"/>
    </row>
    <row r="74" spans="1:23" ht="21" customHeight="1" thickBot="1">
      <c r="A74" s="674" t="s">
        <v>295</v>
      </c>
      <c r="B74" s="674"/>
      <c r="C74" s="445" t="e">
        <f>SUM(C27:C73)</f>
        <v>#VALUE!</v>
      </c>
      <c r="D74" s="445" t="e">
        <f t="shared" ref="D74:O74" si="34">SUM(D27:D73)</f>
        <v>#VALUE!</v>
      </c>
      <c r="E74" s="445" t="e">
        <f t="shared" si="34"/>
        <v>#VALUE!</v>
      </c>
      <c r="F74" s="445" t="e">
        <f t="shared" si="34"/>
        <v>#VALUE!</v>
      </c>
      <c r="G74" s="445" t="e">
        <f t="shared" si="34"/>
        <v>#VALUE!</v>
      </c>
      <c r="H74" s="445" t="e">
        <f t="shared" si="34"/>
        <v>#VALUE!</v>
      </c>
      <c r="I74" s="445" t="e">
        <f t="shared" si="34"/>
        <v>#VALUE!</v>
      </c>
      <c r="J74" s="445" t="e">
        <f t="shared" si="34"/>
        <v>#VALUE!</v>
      </c>
      <c r="K74" s="445" t="e">
        <f t="shared" si="34"/>
        <v>#VALUE!</v>
      </c>
      <c r="L74" s="445" t="e">
        <f t="shared" si="34"/>
        <v>#VALUE!</v>
      </c>
      <c r="M74" s="445" t="e">
        <f t="shared" si="34"/>
        <v>#VALUE!</v>
      </c>
      <c r="N74" s="445" t="e">
        <f t="shared" si="34"/>
        <v>#VALUE!</v>
      </c>
      <c r="O74" s="445" t="e">
        <f t="shared" si="34"/>
        <v>#VALUE!</v>
      </c>
      <c r="R74" s="235"/>
    </row>
    <row r="75" spans="1:23" ht="21" customHeight="1" thickBot="1">
      <c r="A75" s="678" t="s">
        <v>296</v>
      </c>
      <c r="B75" s="678"/>
      <c r="C75" s="678"/>
      <c r="D75" s="678"/>
      <c r="E75" s="678"/>
      <c r="F75" s="678"/>
      <c r="G75" s="678"/>
      <c r="H75" s="678"/>
      <c r="I75" s="678"/>
      <c r="J75" s="678"/>
      <c r="K75" s="678"/>
      <c r="L75" s="678"/>
      <c r="M75" s="678"/>
      <c r="N75" s="678"/>
      <c r="O75" s="678"/>
      <c r="P75" s="259" t="s">
        <v>297</v>
      </c>
      <c r="R75" s="235"/>
    </row>
    <row r="76" spans="1:23" ht="21" customHeight="1" thickBot="1">
      <c r="A76" s="444" t="s">
        <v>298</v>
      </c>
      <c r="B76" s="502" t="s">
        <v>259</v>
      </c>
      <c r="C76" s="260">
        <f>IF('Business Loans'!$A$18&lt;=C97,'Business Loans'!$H$14,0)</f>
        <v>0</v>
      </c>
      <c r="D76" s="260">
        <f>IF('Business Loans'!$A$18&lt;=D97,'Business Loans'!$H$14,0)</f>
        <v>0</v>
      </c>
      <c r="E76" s="260">
        <f>IF('Business Loans'!$A$18&lt;=E97,'Business Loans'!$H$14,0)</f>
        <v>0</v>
      </c>
      <c r="F76" s="260">
        <f>IF('Business Loans'!$A$18&lt;=F97,'Business Loans'!$H$14,0)</f>
        <v>0</v>
      </c>
      <c r="G76" s="260">
        <f>IF('Business Loans'!$A$18&lt;=G97,'Business Loans'!$H$14,0)</f>
        <v>0</v>
      </c>
      <c r="H76" s="260">
        <f>IF('Business Loans'!$A$18&lt;=H97,'Business Loans'!$H$14,0)</f>
        <v>0</v>
      </c>
      <c r="I76" s="260">
        <f>IF('Business Loans'!$A$18&lt;=I97,'Business Loans'!$H$14,0)</f>
        <v>0</v>
      </c>
      <c r="J76" s="260">
        <f>IF('Business Loans'!$A$18&lt;=J97,'Business Loans'!$H$14,0)</f>
        <v>0</v>
      </c>
      <c r="K76" s="260">
        <f>IF('Business Loans'!$A$18&lt;=K97,'Business Loans'!$H$14,0)</f>
        <v>0</v>
      </c>
      <c r="L76" s="260">
        <f>IF('Business Loans'!$A$18&lt;=L97,'Business Loans'!$H$14,0)</f>
        <v>0</v>
      </c>
      <c r="M76" s="260">
        <f>IF('Business Loans'!$A$18&lt;=M97,'Business Loans'!$H$14,0)</f>
        <v>0</v>
      </c>
      <c r="N76" s="260">
        <f>IF('Business Loans'!$A$18&lt;=N97,'Business Loans'!$H$14,0)</f>
        <v>0</v>
      </c>
      <c r="O76" s="445">
        <f>SUM(C76:N76)</f>
        <v>0</v>
      </c>
      <c r="P76" s="261">
        <f>SUM(O76-'Business Loans'!H15)</f>
        <v>0</v>
      </c>
      <c r="R76" s="235"/>
    </row>
    <row r="77" spans="1:23" ht="21" customHeight="1" thickBot="1">
      <c r="A77" s="444" t="s">
        <v>299</v>
      </c>
      <c r="B77" s="502" t="s">
        <v>259</v>
      </c>
      <c r="C77" s="260">
        <f>IF('Business Loans'!$A$36&lt;=C97,'Business Loans'!$H$31,0)</f>
        <v>0</v>
      </c>
      <c r="D77" s="260">
        <f>IF('Business Loans'!$A$36&lt;=D97,'Business Loans'!$H$31,0)</f>
        <v>0</v>
      </c>
      <c r="E77" s="260">
        <f>IF('Business Loans'!$A$36&lt;=E97,'Business Loans'!$H$31,0)</f>
        <v>0</v>
      </c>
      <c r="F77" s="260">
        <f>IF('Business Loans'!$A$36&lt;=F97,'Business Loans'!$H$31,0)</f>
        <v>0</v>
      </c>
      <c r="G77" s="260">
        <f>IF('Business Loans'!$A$36&lt;=G97,'Business Loans'!$H$31,0)</f>
        <v>0</v>
      </c>
      <c r="H77" s="260">
        <f>IF('Business Loans'!$A$36&lt;=H97,'Business Loans'!$H$31,0)</f>
        <v>0</v>
      </c>
      <c r="I77" s="260">
        <f>IF('Business Loans'!$A$36&lt;=I97,'Business Loans'!$H$31,0)</f>
        <v>0</v>
      </c>
      <c r="J77" s="260">
        <f>IF('Business Loans'!$A$36&lt;=J97,'Business Loans'!$H$31,0)</f>
        <v>0</v>
      </c>
      <c r="K77" s="260">
        <f>IF('Business Loans'!$A$36&lt;=K97,'Business Loans'!$H$31,0)</f>
        <v>0</v>
      </c>
      <c r="L77" s="260">
        <f>IF('Business Loans'!$A$36&lt;=L97,'Business Loans'!$H$31,0)</f>
        <v>0</v>
      </c>
      <c r="M77" s="260">
        <f>IF('Business Loans'!$A$36&lt;=M97,'Business Loans'!$H$31,0)</f>
        <v>0</v>
      </c>
      <c r="N77" s="260">
        <f>IF('Business Loans'!$A$36&lt;=N97,'Business Loans'!$H$31,0)</f>
        <v>0</v>
      </c>
      <c r="O77" s="445">
        <f t="shared" ref="O77:O79" si="35">SUM(C77:N77)</f>
        <v>0</v>
      </c>
      <c r="P77" s="262">
        <f>SUM(O77-'Business Loans'!H32)</f>
        <v>0</v>
      </c>
      <c r="R77" s="235"/>
    </row>
    <row r="78" spans="1:23" ht="21" customHeight="1" thickBot="1">
      <c r="A78" s="444" t="s">
        <v>300</v>
      </c>
      <c r="B78" s="502" t="s">
        <v>259</v>
      </c>
      <c r="C78" s="260">
        <f>IF('Assets and Depreciation'!V9&lt;=0,0,'Assets and Depreciation'!V7)</f>
        <v>0</v>
      </c>
      <c r="D78" s="263">
        <f>IF('Assets and Depreciation'!V9&lt;=1,0,'Assets and Depreciation'!V7)</f>
        <v>0</v>
      </c>
      <c r="E78" s="263">
        <f>IF('Assets and Depreciation'!V9&lt;=2,0,'Assets and Depreciation'!V7)</f>
        <v>0</v>
      </c>
      <c r="F78" s="263">
        <f>IF('Assets and Depreciation'!V9&lt;=3,0,'Assets and Depreciation'!V7)</f>
        <v>0</v>
      </c>
      <c r="G78" s="263">
        <f>IF('Assets and Depreciation'!V9&lt;=4,0,'Assets and Depreciation'!V7)</f>
        <v>0</v>
      </c>
      <c r="H78" s="263">
        <f>IF('Assets and Depreciation'!V9&lt;=5,0,'Assets and Depreciation'!V7)</f>
        <v>0</v>
      </c>
      <c r="I78" s="263">
        <f>IF('Assets and Depreciation'!V9&lt;=6,0,'Assets and Depreciation'!V7)</f>
        <v>0</v>
      </c>
      <c r="J78" s="263">
        <f>IF('Assets and Depreciation'!V9&lt;=7,0,'Assets and Depreciation'!V7)</f>
        <v>0</v>
      </c>
      <c r="K78" s="263">
        <f>IF('Assets and Depreciation'!V9&lt;=8,0,'Assets and Depreciation'!V7)</f>
        <v>0</v>
      </c>
      <c r="L78" s="263">
        <f>IF('Assets and Depreciation'!V9&lt;=9,0,'Assets and Depreciation'!V7)</f>
        <v>0</v>
      </c>
      <c r="M78" s="263">
        <f>IF('Assets and Depreciation'!V9&lt;=10,0,'Assets and Depreciation'!V7)</f>
        <v>0</v>
      </c>
      <c r="N78" s="263">
        <f>IF('Assets and Depreciation'!V9&lt;=11,0,'Assets and Depreciation'!V7)</f>
        <v>0</v>
      </c>
      <c r="O78" s="445">
        <f>SUM(C78:N78)</f>
        <v>0</v>
      </c>
      <c r="P78" s="262">
        <f>SUM(O78-'Assets and Depreciation'!V10)</f>
        <v>0</v>
      </c>
      <c r="R78" s="235"/>
    </row>
    <row r="79" spans="1:23" ht="21" customHeight="1" thickBot="1">
      <c r="A79" s="444" t="s">
        <v>301</v>
      </c>
      <c r="B79" s="264"/>
      <c r="C79" s="265">
        <f>SUMIF('Assets and Depreciation'!$F$25:$F$29,0,'Assets and Depreciation'!$D$25:$D$29)+N("the first month is numbered zero")</f>
        <v>0</v>
      </c>
      <c r="D79" s="266">
        <f>SUMIF('Assets and Depreciation'!$F$25:$F$29,1,'Assets and Depreciation'!$D$25:$D$29)+N("the first month is numbered zero")</f>
        <v>0</v>
      </c>
      <c r="E79" s="266">
        <f>SUMIF('Assets and Depreciation'!$F$25:$F$29,2,'Assets and Depreciation'!$D$25:$D$29)+N("the first month is numbered zero")</f>
        <v>0</v>
      </c>
      <c r="F79" s="266">
        <f>SUMIF('Assets and Depreciation'!$F$25:$F$29,3,'Assets and Depreciation'!$D$25:$D$29)+N("the first month is numbered zero")</f>
        <v>0</v>
      </c>
      <c r="G79" s="266">
        <f>SUMIF('Assets and Depreciation'!$F$25:$F$29,4,'Assets and Depreciation'!$D$25:$D$29)+N("the first month is numbered zero")</f>
        <v>0</v>
      </c>
      <c r="H79" s="266">
        <f>SUMIF('Assets and Depreciation'!$F$25:$F$29,5,'Assets and Depreciation'!$D$25:$D$29)+N("the first month is numbered zero")</f>
        <v>0</v>
      </c>
      <c r="I79" s="266">
        <f>SUMIF('Assets and Depreciation'!$F$25:$F$29,6,'Assets and Depreciation'!$D$25:$D$29)+N("the first month is numbered zero")</f>
        <v>0</v>
      </c>
      <c r="J79" s="266">
        <f>SUMIF('Assets and Depreciation'!$F$25:$F$29,7,'Assets and Depreciation'!$D$25:$D$29)+N("the first month is numbered zero")</f>
        <v>0</v>
      </c>
      <c r="K79" s="266">
        <f>SUMIF('Assets and Depreciation'!$F$25:$F$29,8,'Assets and Depreciation'!$D$25:$D$29)+N("the first month is numbered zero")</f>
        <v>0</v>
      </c>
      <c r="L79" s="266">
        <f>SUMIF('Assets and Depreciation'!$F$25:$F$29,9,'Assets and Depreciation'!$D$25:$D$29)+N("the first month is numbered zero")</f>
        <v>0</v>
      </c>
      <c r="M79" s="266">
        <f>SUMIF('Assets and Depreciation'!$F$25:$F$29,10,'Assets and Depreciation'!$D$25:$D$29)+N("the first month is numbered zero")</f>
        <v>0</v>
      </c>
      <c r="N79" s="266">
        <f>SUMIF('Assets and Depreciation'!$F$25:$F$29,11,'Assets and Depreciation'!$D$25:$D$29)+N("the first month is numbered zero")</f>
        <v>0</v>
      </c>
      <c r="O79" s="445">
        <f t="shared" si="35"/>
        <v>0</v>
      </c>
      <c r="R79" s="237">
        <f>(O79*'Tables and Calculations'!C7)</f>
        <v>0</v>
      </c>
    </row>
    <row r="80" spans="1:23" ht="21" customHeight="1" thickBot="1">
      <c r="A80" s="674" t="s">
        <v>302</v>
      </c>
      <c r="B80" s="674"/>
      <c r="C80" s="445">
        <f>SUM(C76:C79)</f>
        <v>0</v>
      </c>
      <c r="D80" s="445">
        <f t="shared" ref="D80:N80" si="36">SUM(D76:D79)</f>
        <v>0</v>
      </c>
      <c r="E80" s="445">
        <f t="shared" si="36"/>
        <v>0</v>
      </c>
      <c r="F80" s="445">
        <f>SUM(F76:F79)</f>
        <v>0</v>
      </c>
      <c r="G80" s="445">
        <f t="shared" si="36"/>
        <v>0</v>
      </c>
      <c r="H80" s="445">
        <f t="shared" si="36"/>
        <v>0</v>
      </c>
      <c r="I80" s="445">
        <f t="shared" si="36"/>
        <v>0</v>
      </c>
      <c r="J80" s="445">
        <f t="shared" si="36"/>
        <v>0</v>
      </c>
      <c r="K80" s="445">
        <f t="shared" si="36"/>
        <v>0</v>
      </c>
      <c r="L80" s="445">
        <f t="shared" si="36"/>
        <v>0</v>
      </c>
      <c r="M80" s="445">
        <f t="shared" si="36"/>
        <v>0</v>
      </c>
      <c r="N80" s="445">
        <f t="shared" si="36"/>
        <v>0</v>
      </c>
      <c r="O80" s="445">
        <f>SUM(O76:O79)</f>
        <v>0</v>
      </c>
      <c r="R80" s="267"/>
      <c r="S80" s="39"/>
    </row>
    <row r="81" spans="1:19" ht="21" customHeight="1" thickBot="1">
      <c r="A81" s="678" t="s">
        <v>303</v>
      </c>
      <c r="B81" s="678"/>
      <c r="C81" s="678"/>
      <c r="D81" s="678"/>
      <c r="E81" s="678"/>
      <c r="F81" s="678"/>
      <c r="G81" s="678"/>
      <c r="H81" s="678"/>
      <c r="I81" s="678"/>
      <c r="J81" s="678"/>
      <c r="K81" s="678"/>
      <c r="L81" s="678"/>
      <c r="M81" s="678"/>
      <c r="N81" s="678"/>
      <c r="O81" s="678"/>
      <c r="R81" s="267"/>
    </row>
    <row r="82" spans="1:19" ht="21" customHeight="1" thickBot="1">
      <c r="A82" s="444" t="s">
        <v>304</v>
      </c>
      <c r="B82" s="268"/>
      <c r="C82" s="443"/>
      <c r="D82" s="443"/>
      <c r="E82" s="443"/>
      <c r="F82" s="443"/>
      <c r="G82" s="443"/>
      <c r="H82" s="443"/>
      <c r="I82" s="443"/>
      <c r="J82" s="443"/>
      <c r="K82" s="443"/>
      <c r="L82" s="443"/>
      <c r="M82" s="443"/>
      <c r="N82" s="443"/>
      <c r="O82" s="445">
        <f>SUM(C82:N82)</f>
        <v>0</v>
      </c>
      <c r="R82" s="267"/>
    </row>
    <row r="83" spans="1:19" ht="21" customHeight="1" thickBot="1">
      <c r="A83" s="678" t="s">
        <v>305</v>
      </c>
      <c r="B83" s="678"/>
      <c r="C83" s="678"/>
      <c r="D83" s="678"/>
      <c r="E83" s="678"/>
      <c r="F83" s="678"/>
      <c r="G83" s="678"/>
      <c r="H83" s="678"/>
      <c r="I83" s="678"/>
      <c r="J83" s="678"/>
      <c r="K83" s="678"/>
      <c r="L83" s="678"/>
      <c r="M83" s="678"/>
      <c r="N83" s="678"/>
      <c r="O83" s="678"/>
      <c r="R83" s="267"/>
    </row>
    <row r="84" spans="1:19" ht="21" customHeight="1" thickBot="1">
      <c r="A84" s="444" t="s">
        <v>306</v>
      </c>
      <c r="B84" s="223"/>
      <c r="C84" s="443">
        <f>IF('Set Up Details'!$D$11="Quarterly",IF(OR(C3="Jul",C3="Oct",C3="Jan",C3="Apr"),'Assets and Depreciation'!Q5,0),IF('Set Up Details'!$D$11="Monthly",'Assets and Depreciation'!Q5,0))</f>
        <v>0</v>
      </c>
      <c r="D84" s="443" t="e">
        <f>IF('Set Up Details'!$D$11="Quarterly",IF(OR(D3="Jul",D3="Oct",D3="Jan",D3="Apr"),C92,0),IF('Set Up Details'!$D$11="Monthly",C92,0))</f>
        <v>#VALUE!</v>
      </c>
      <c r="E84" s="443" t="e">
        <f>IF('Set Up Details'!$D$11="Quarterly",IF(OR(E3="Jul",E3="Oct",E3="Jan",E3="Apr"),D92,0),IF('Set Up Details'!$D$11="Monthly",D92,0))</f>
        <v>#VALUE!</v>
      </c>
      <c r="F84" s="443" t="e">
        <f>IF('Set Up Details'!$D$11="Quarterly",IF(OR(F3="Jul",F3="Oct",F3="Jan",F3="Apr"),E92,0),IF('Set Up Details'!$D$11="Monthly",E92,0))</f>
        <v>#VALUE!</v>
      </c>
      <c r="G84" s="443" t="e">
        <f>IF('Set Up Details'!$D$11="Quarterly",IF(OR(G3="Jul",G3="Oct",G3="Jan",G3="Apr"),F92,0),IF('Set Up Details'!$D$11="Monthly",F92,0))</f>
        <v>#VALUE!</v>
      </c>
      <c r="H84" s="443" t="e">
        <f>IF('Set Up Details'!$D$11="Quarterly",IF(OR(H3="Jul",H3="Oct",H3="Jan",H3="Apr"),G92,0),IF('Set Up Details'!$D$11="Monthly",G92,0))</f>
        <v>#VALUE!</v>
      </c>
      <c r="I84" s="443" t="e">
        <f>IF('Set Up Details'!$D$11="Quarterly",IF(OR(I3="Jul",I3="Oct",I3="Jan",I3="Apr"),H92,0),IF('Set Up Details'!$D$11="Monthly",H92,0))</f>
        <v>#VALUE!</v>
      </c>
      <c r="J84" s="443" t="e">
        <f>IF('Set Up Details'!$D$11="Quarterly",IF(OR(J3="Jul",J3="Oct",J3="Jan",J3="Apr"),I92,0),IF('Set Up Details'!$D$11="Monthly",I92,0))</f>
        <v>#VALUE!</v>
      </c>
      <c r="K84" s="443" t="e">
        <f>IF('Set Up Details'!$D$11="Quarterly",IF(OR(K3="Jul",K3="Oct",K3="Jan",K3="Apr"),J92,0),IF('Set Up Details'!$D$11="Monthly",J92,0))</f>
        <v>#VALUE!</v>
      </c>
      <c r="L84" s="443" t="e">
        <f>IF('Set Up Details'!$D$11="Quarterly",IF(OR(L3="Jul",L3="Oct",L3="Jan",L3="Apr"),K92,0),IF('Set Up Details'!$D$11="Monthly",K92,0))</f>
        <v>#VALUE!</v>
      </c>
      <c r="M84" s="443" t="e">
        <f>IF('Set Up Details'!$D$11="Quarterly",IF(OR(M3="Jul",M3="Oct",M3="Jan",M3="Apr"),L92,0),IF('Set Up Details'!$D$11="Monthly",L92,0))</f>
        <v>#VALUE!</v>
      </c>
      <c r="N84" s="443" t="e">
        <f>IF('Set Up Details'!$D$11="Quarterly",IF(OR(N3="Jul",N3="Oct",N3="Jan",N3="Apr"),M92,0),IF('Set Up Details'!$D$11="Monthly",M92,0))</f>
        <v>#VALUE!</v>
      </c>
      <c r="O84" s="445" t="e">
        <f>SUM(C84:N84)</f>
        <v>#VALUE!</v>
      </c>
      <c r="R84" s="267"/>
    </row>
    <row r="85" spans="1:19" ht="21" customHeight="1" thickBot="1">
      <c r="A85" s="444" t="s">
        <v>307</v>
      </c>
      <c r="B85" s="223"/>
      <c r="C85" s="269"/>
      <c r="D85" s="270"/>
      <c r="E85" s="443">
        <f>(IF(OR(E3="Jan",E3="Apr",E3="Jul",E3="Oct"),'Tables and Calculations'!G25*0.25,0))</f>
        <v>0</v>
      </c>
      <c r="F85" s="443" t="e">
        <f>(IF(OR(F3="Jan",F3="Apr",F3="Jul",F3="Oct"),'Tables and Calculations'!$G$25*0.25,0))</f>
        <v>#VALUE!</v>
      </c>
      <c r="G85" s="443">
        <f>(IF(OR(G3="Jan",G3="Apr",G3="Jul",G3="Oct"),'Tables and Calculations'!$G$25*0.25,0))</f>
        <v>0</v>
      </c>
      <c r="H85" s="443">
        <f>(IF(OR(H3="Jan",H3="Apr",H3="Jul",H3="Oct"),'Tables and Calculations'!$G$25*0.25,0))</f>
        <v>0</v>
      </c>
      <c r="I85" s="443" t="e">
        <f>(IF(OR(I3="Jan",I3="Apr",I3="Jul",I3="Oct"),'Tables and Calculations'!$G$25*0.25,0))</f>
        <v>#VALUE!</v>
      </c>
      <c r="J85" s="443">
        <f>(IF(OR(J3="Jan",J3="Apr",J3="Jul",J3="Oct"),'Tables and Calculations'!$G$25*0.25,0))</f>
        <v>0</v>
      </c>
      <c r="K85" s="443">
        <f>(IF(OR(K3="Jan",K3="Apr",K3="Jul",K3="Oct"),'Tables and Calculations'!$G$25*0.25,0))</f>
        <v>0</v>
      </c>
      <c r="L85" s="443" t="e">
        <f>(IF(OR(L3="Jan",L3="Apr",L3="Jul",L3="Oct"),'Tables and Calculations'!$G$25*0.25,0))</f>
        <v>#VALUE!</v>
      </c>
      <c r="M85" s="443">
        <f>(IF(OR(M3="Jan",M3="Apr",M3="Jul",M3="Oct"),'Tables and Calculations'!$G$25*0.25,0))</f>
        <v>0</v>
      </c>
      <c r="N85" s="443">
        <f>(IF(OR(N3="Jan",N3="Apr",N3="Jul",N3="Oct"),'Tables and Calculations'!$G$25*0.25,0))</f>
        <v>0</v>
      </c>
      <c r="O85" s="445" t="e">
        <f t="shared" ref="O85:O86" si="37">SUM(C85:N85)</f>
        <v>#VALUE!</v>
      </c>
      <c r="R85" s="267"/>
    </row>
    <row r="86" spans="1:19" ht="21" customHeight="1" thickBot="1">
      <c r="A86" s="674" t="s">
        <v>308</v>
      </c>
      <c r="B86" s="674"/>
      <c r="C86" s="443">
        <f>SUM(C82:C85)</f>
        <v>0</v>
      </c>
      <c r="D86" s="443" t="e">
        <f t="shared" ref="D86:N86" si="38">SUM(D82:D85)</f>
        <v>#VALUE!</v>
      </c>
      <c r="E86" s="443" t="e">
        <f t="shared" si="38"/>
        <v>#VALUE!</v>
      </c>
      <c r="F86" s="443" t="e">
        <f t="shared" si="38"/>
        <v>#VALUE!</v>
      </c>
      <c r="G86" s="443" t="e">
        <f t="shared" si="38"/>
        <v>#VALUE!</v>
      </c>
      <c r="H86" s="443" t="e">
        <f t="shared" si="38"/>
        <v>#VALUE!</v>
      </c>
      <c r="I86" s="443" t="e">
        <f t="shared" si="38"/>
        <v>#VALUE!</v>
      </c>
      <c r="J86" s="443" t="e">
        <f t="shared" si="38"/>
        <v>#VALUE!</v>
      </c>
      <c r="K86" s="443" t="e">
        <f t="shared" si="38"/>
        <v>#VALUE!</v>
      </c>
      <c r="L86" s="443" t="e">
        <f t="shared" si="38"/>
        <v>#VALUE!</v>
      </c>
      <c r="M86" s="443" t="e">
        <f t="shared" si="38"/>
        <v>#VALUE!</v>
      </c>
      <c r="N86" s="443" t="e">
        <f t="shared" si="38"/>
        <v>#VALUE!</v>
      </c>
      <c r="O86" s="445" t="e">
        <f t="shared" si="37"/>
        <v>#VALUE!</v>
      </c>
      <c r="R86" s="271"/>
      <c r="S86" s="39"/>
    </row>
    <row r="87" spans="1:19" ht="18.75" thickBot="1">
      <c r="A87" s="674" t="s">
        <v>115</v>
      </c>
      <c r="B87" s="674"/>
      <c r="C87" s="445" t="e">
        <f t="shared" ref="C87:N87" si="39">C25+C74+C80+C86</f>
        <v>#VALUE!</v>
      </c>
      <c r="D87" s="445" t="e">
        <f t="shared" si="39"/>
        <v>#VALUE!</v>
      </c>
      <c r="E87" s="445" t="e">
        <f t="shared" si="39"/>
        <v>#VALUE!</v>
      </c>
      <c r="F87" s="445" t="e">
        <f t="shared" si="39"/>
        <v>#VALUE!</v>
      </c>
      <c r="G87" s="445" t="e">
        <f t="shared" si="39"/>
        <v>#VALUE!</v>
      </c>
      <c r="H87" s="445" t="e">
        <f t="shared" si="39"/>
        <v>#VALUE!</v>
      </c>
      <c r="I87" s="445" t="e">
        <f t="shared" si="39"/>
        <v>#VALUE!</v>
      </c>
      <c r="J87" s="445" t="e">
        <f t="shared" si="39"/>
        <v>#VALUE!</v>
      </c>
      <c r="K87" s="445" t="e">
        <f t="shared" si="39"/>
        <v>#VALUE!</v>
      </c>
      <c r="L87" s="445" t="e">
        <f t="shared" si="39"/>
        <v>#VALUE!</v>
      </c>
      <c r="M87" s="445" t="e">
        <f t="shared" si="39"/>
        <v>#VALUE!</v>
      </c>
      <c r="N87" s="445" t="e">
        <f t="shared" si="39"/>
        <v>#VALUE!</v>
      </c>
      <c r="O87" s="445" t="e">
        <f>SUM(C87:N87)</f>
        <v>#VALUE!</v>
      </c>
      <c r="R87" s="272"/>
    </row>
    <row r="88" spans="1:19">
      <c r="M88" s="684"/>
      <c r="N88" s="684"/>
      <c r="O88" s="684"/>
      <c r="P88" s="273"/>
      <c r="Q88" s="273"/>
      <c r="R88" s="274"/>
    </row>
    <row r="89" spans="1:19">
      <c r="R89" s="274"/>
      <c r="S89" s="39"/>
    </row>
    <row r="90" spans="1:19">
      <c r="A90" s="588" t="s">
        <v>309</v>
      </c>
      <c r="B90" s="588"/>
      <c r="C90" s="503">
        <v>0</v>
      </c>
      <c r="D90" s="503">
        <f>'Debtors analysis'!R22</f>
        <v>0</v>
      </c>
      <c r="E90" s="503">
        <f>'Debtors analysis'!S22</f>
        <v>0</v>
      </c>
      <c r="F90" s="503">
        <f>'Debtors analysis'!T22</f>
        <v>0</v>
      </c>
      <c r="G90" s="503">
        <f>'Debtors analysis'!U22</f>
        <v>0</v>
      </c>
      <c r="H90" s="503">
        <f>'Debtors analysis'!V22</f>
        <v>0</v>
      </c>
      <c r="I90" s="503">
        <f>'Debtors analysis'!W22</f>
        <v>0</v>
      </c>
      <c r="J90" s="503">
        <f>'Debtors analysis'!X22</f>
        <v>0</v>
      </c>
      <c r="K90" s="503">
        <f>'Debtors analysis'!Y22</f>
        <v>0</v>
      </c>
      <c r="L90" s="503">
        <f>'Debtors analysis'!Z22</f>
        <v>0</v>
      </c>
      <c r="M90" s="503">
        <f>'Debtors analysis'!AA22</f>
        <v>0</v>
      </c>
      <c r="N90" s="503">
        <f>'Debtors analysis'!AB22</f>
        <v>0</v>
      </c>
      <c r="O90" s="39"/>
      <c r="P90" s="39"/>
      <c r="Q90" s="39"/>
      <c r="R90" s="274"/>
      <c r="S90" s="39"/>
    </row>
    <row r="91" spans="1:19" ht="15" customHeight="1" thickBot="1">
      <c r="A91" s="682" t="s">
        <v>310</v>
      </c>
      <c r="B91" s="683"/>
      <c r="C91" s="503" t="e">
        <f>IF('Tables and Calculations'!$B$7&gt;1,((C25+SUM(C27:C67)+C79)*'Tables and Calculations'!$C$7),0)</f>
        <v>#VALUE!</v>
      </c>
      <c r="D91" s="503" t="e">
        <f>IF('Tables and Calculations'!$B$7&gt;1,((D25+SUM(D27:D67)+D79)*'Tables and Calculations'!$C$7),0)</f>
        <v>#VALUE!</v>
      </c>
      <c r="E91" s="503" t="e">
        <f>IF('Tables and Calculations'!$B$7&gt;1,((E25+SUM(E27:E67)+E79)*'Tables and Calculations'!$C$7),0)</f>
        <v>#VALUE!</v>
      </c>
      <c r="F91" s="503" t="e">
        <f>IF('Tables and Calculations'!$B$7&gt;1,((F25+SUM(F27:F67)+F79)*'Tables and Calculations'!$C$7),0)</f>
        <v>#VALUE!</v>
      </c>
      <c r="G91" s="503" t="e">
        <f>IF('Tables and Calculations'!$B$7&gt;1,((G25+SUM(G27:G67)+G79)*'Tables and Calculations'!$C$7),0)</f>
        <v>#VALUE!</v>
      </c>
      <c r="H91" s="503" t="e">
        <f>IF('Tables and Calculations'!$B$7&gt;1,((H25+SUM(H27:H67)+H79)*'Tables and Calculations'!$C$7),0)</f>
        <v>#VALUE!</v>
      </c>
      <c r="I91" s="503" t="e">
        <f>IF('Tables and Calculations'!$B$7&gt;1,((I25+SUM(I27:I67)+I79)*'Tables and Calculations'!$C$7),0)</f>
        <v>#VALUE!</v>
      </c>
      <c r="J91" s="503" t="e">
        <f>IF('Tables and Calculations'!$B$7&gt;1,((J25+SUM(J27:J67)+J79)*'Tables and Calculations'!$C$7),0)</f>
        <v>#VALUE!</v>
      </c>
      <c r="K91" s="503" t="e">
        <f>IF('Tables and Calculations'!$B$7&gt;1,((K25+SUM(K27:K67)+K79)*'Tables and Calculations'!$C$7),0)</f>
        <v>#VALUE!</v>
      </c>
      <c r="L91" s="503" t="e">
        <f>IF('Tables and Calculations'!$B$7&gt;1,((L25+SUM(L27:L67)+L79)*'Tables and Calculations'!$C$7),0)</f>
        <v>#VALUE!</v>
      </c>
      <c r="M91" s="503" t="e">
        <f>IF('Tables and Calculations'!$B$7&gt;1,((M25+SUM(M27:M67)+M79)*'Tables and Calculations'!$C$7),0)</f>
        <v>#VALUE!</v>
      </c>
      <c r="N91" s="503" t="e">
        <f>IF('Tables and Calculations'!$B$7&gt;1,((N25+SUM(N27:N67)+N79)*'Tables and Calculations'!$C$7),0)</f>
        <v>#VALUE!</v>
      </c>
      <c r="O91" s="39"/>
      <c r="R91" s="274"/>
    </row>
    <row r="92" spans="1:19" ht="16.5" customHeight="1" thickBot="1">
      <c r="A92" s="588" t="s">
        <v>311</v>
      </c>
      <c r="B92" s="588"/>
      <c r="C92" s="503" t="e">
        <f>('Assets and Depreciation'!Q5+C90-C91-C84)</f>
        <v>#VALUE!</v>
      </c>
      <c r="D92" s="503" t="e">
        <f>(C92+D90-D91-D84)</f>
        <v>#VALUE!</v>
      </c>
      <c r="E92" s="503" t="e">
        <f>(D92+E90-E91-E84)</f>
        <v>#VALUE!</v>
      </c>
      <c r="F92" s="503" t="e">
        <f t="shared" ref="F92:N92" si="40">(E92+F90-F91-F84)</f>
        <v>#VALUE!</v>
      </c>
      <c r="G92" s="503" t="e">
        <f t="shared" si="40"/>
        <v>#VALUE!</v>
      </c>
      <c r="H92" s="503" t="e">
        <f t="shared" si="40"/>
        <v>#VALUE!</v>
      </c>
      <c r="I92" s="503" t="e">
        <f t="shared" si="40"/>
        <v>#VALUE!</v>
      </c>
      <c r="J92" s="503" t="e">
        <f t="shared" si="40"/>
        <v>#VALUE!</v>
      </c>
      <c r="K92" s="503" t="e">
        <f t="shared" si="40"/>
        <v>#VALUE!</v>
      </c>
      <c r="L92" s="503" t="e">
        <f t="shared" si="40"/>
        <v>#VALUE!</v>
      </c>
      <c r="M92" s="503" t="e">
        <f t="shared" si="40"/>
        <v>#VALUE!</v>
      </c>
      <c r="N92" s="503" t="e">
        <f t="shared" si="40"/>
        <v>#VALUE!</v>
      </c>
      <c r="O92" s="445" t="e">
        <f>'Assets and Depreciation'!Q5+(R12+R14-((SUM(R22:R79)+O84)))</f>
        <v>#VALUE!</v>
      </c>
      <c r="P92" s="39"/>
      <c r="Q92" s="39"/>
      <c r="R92" s="275" t="e">
        <f>O92-N92</f>
        <v>#VALUE!</v>
      </c>
    </row>
    <row r="97" spans="1:14" hidden="1">
      <c r="A97" s="276" t="s">
        <v>312</v>
      </c>
      <c r="B97" s="276"/>
      <c r="C97" s="276">
        <v>0</v>
      </c>
      <c r="D97" s="276">
        <v>1</v>
      </c>
      <c r="E97" s="276">
        <v>2</v>
      </c>
      <c r="F97" s="276">
        <v>3</v>
      </c>
      <c r="G97" s="276">
        <v>4</v>
      </c>
      <c r="H97" s="276">
        <v>5</v>
      </c>
      <c r="I97" s="276">
        <v>6</v>
      </c>
      <c r="J97" s="276">
        <v>7</v>
      </c>
      <c r="K97" s="276">
        <v>8</v>
      </c>
      <c r="L97" s="276">
        <v>9</v>
      </c>
      <c r="M97" s="276">
        <v>10</v>
      </c>
      <c r="N97" s="276">
        <v>11</v>
      </c>
    </row>
  </sheetData>
  <mergeCells count="31">
    <mergeCell ref="C15:O15"/>
    <mergeCell ref="B1:O1"/>
    <mergeCell ref="A2:O2"/>
    <mergeCell ref="A4:B4"/>
    <mergeCell ref="A5:B5"/>
    <mergeCell ref="A6:B6"/>
    <mergeCell ref="A7:B7"/>
    <mergeCell ref="P7:Q7"/>
    <mergeCell ref="A9:B9"/>
    <mergeCell ref="P9:Q9"/>
    <mergeCell ref="A11:O11"/>
    <mergeCell ref="C13:O13"/>
    <mergeCell ref="A18:B18"/>
    <mergeCell ref="A20:O20"/>
    <mergeCell ref="A25:B25"/>
    <mergeCell ref="S52:S53"/>
    <mergeCell ref="T52:T53"/>
    <mergeCell ref="A92:B92"/>
    <mergeCell ref="V52:V53"/>
    <mergeCell ref="W52:W53"/>
    <mergeCell ref="A74:B74"/>
    <mergeCell ref="A75:O75"/>
    <mergeCell ref="A80:B80"/>
    <mergeCell ref="A81:O81"/>
    <mergeCell ref="U52:U53"/>
    <mergeCell ref="A91:B91"/>
    <mergeCell ref="A83:O83"/>
    <mergeCell ref="A86:B86"/>
    <mergeCell ref="A87:B87"/>
    <mergeCell ref="M88:O88"/>
    <mergeCell ref="A90:B90"/>
  </mergeCells>
  <conditionalFormatting sqref="C7:N7">
    <cfRule type="cellIs" dxfId="4" priority="1" operator="lessThan">
      <formula>0</formula>
    </cfRule>
  </conditionalFormatting>
  <dataValidations count="1">
    <dataValidation allowBlank="1" showInputMessage="1" showErrorMessage="1" prompt="If the start month for intermittent payments needs to be adjusted, ask your trainer for assistance." sqref="C54:N67" xr:uid="{0D1DD257-6585-4227-833D-A23D432DA3B6}"/>
  </dataValidations>
  <hyperlinks>
    <hyperlink ref="A35" r:id="rId1" display="https://www.ato.gov.au/calculators-and-tools/home-office-expenses-calculator/" xr:uid="{661253C0-C28C-4E2F-9128-BAFAA56AD75C}"/>
  </hyperlinks>
  <pageMargins left="0.25" right="0.25" top="0.75" bottom="0.75" header="0.3" footer="0.3"/>
  <pageSetup paperSize="9" scale="31" orientation="portrait" r:id="rId2"/>
  <headerFooter alignWithMargins="0">
    <oddHeader>&amp;L&amp;A&amp;CSelf-Employment Assistance</oddHeader>
  </headerFooter>
  <rowBreaks count="1" manualBreakCount="1">
    <brk id="87" max="16383" man="1"/>
  </rowBreaks>
  <colBreaks count="1" manualBreakCount="1">
    <brk id="17"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0CA0-BEDD-43E6-9FEE-21B232E21C9E}">
  <sheetPr>
    <tabColor theme="4" tint="-0.249977111117893"/>
    <pageSetUpPr fitToPage="1"/>
  </sheetPr>
  <dimension ref="A1:W97"/>
  <sheetViews>
    <sheetView zoomScale="80" zoomScaleNormal="80" zoomScaleSheetLayoutView="30" workbookViewId="0">
      <pane ySplit="3" topLeftCell="A70" activePane="bottomLeft" state="frozen"/>
      <selection activeCell="H7" sqref="H7"/>
      <selection pane="bottomLeft" activeCell="A2" sqref="A2:O2"/>
    </sheetView>
  </sheetViews>
  <sheetFormatPr defaultColWidth="9.28515625" defaultRowHeight="15"/>
  <cols>
    <col min="1" max="1" width="69.7109375" style="196" customWidth="1"/>
    <col min="2" max="2" width="9.85546875" style="196" customWidth="1"/>
    <col min="3" max="15" width="13.28515625" style="196" customWidth="1"/>
    <col min="16" max="16" width="15.7109375" style="196" customWidth="1"/>
    <col min="17" max="17" width="56.7109375" style="196" customWidth="1"/>
    <col min="18" max="18" width="11.5703125" style="196" hidden="1" customWidth="1"/>
    <col min="19" max="19" width="13.5703125" style="196" hidden="1" customWidth="1"/>
    <col min="20" max="20" width="12.28515625" style="196" hidden="1" customWidth="1"/>
    <col min="21" max="22" width="12" style="196" hidden="1" customWidth="1"/>
    <col min="23" max="23" width="11.7109375" style="196" hidden="1" customWidth="1"/>
    <col min="24" max="24" width="13.28515625" style="196" customWidth="1"/>
    <col min="25" max="16384" width="9.28515625" style="196"/>
  </cols>
  <sheetData>
    <row r="1" spans="1:18" ht="28.5" customHeight="1">
      <c r="A1" s="421" t="s">
        <v>181</v>
      </c>
      <c r="B1" s="583" t="str">
        <f>'Set Up Details'!C2</f>
        <v>Test1</v>
      </c>
      <c r="C1" s="583"/>
      <c r="D1" s="583"/>
      <c r="E1" s="583"/>
      <c r="F1" s="583"/>
      <c r="G1" s="583"/>
      <c r="H1" s="583"/>
      <c r="I1" s="583"/>
      <c r="J1" s="583"/>
      <c r="K1" s="583"/>
      <c r="L1" s="583"/>
      <c r="M1" s="583"/>
      <c r="N1" s="583"/>
      <c r="O1" s="583"/>
    </row>
    <row r="2" spans="1:18" ht="30" customHeight="1">
      <c r="A2" s="668" t="s">
        <v>468</v>
      </c>
      <c r="B2" s="668"/>
      <c r="C2" s="668"/>
      <c r="D2" s="668"/>
      <c r="E2" s="668"/>
      <c r="F2" s="668"/>
      <c r="G2" s="668"/>
      <c r="H2" s="668"/>
      <c r="I2" s="668"/>
      <c r="J2" s="668"/>
      <c r="K2" s="668"/>
      <c r="L2" s="668"/>
      <c r="M2" s="668"/>
      <c r="N2" s="668"/>
      <c r="O2" s="668"/>
    </row>
    <row r="3" spans="1:18" ht="22.5" customHeight="1" thickBot="1">
      <c r="A3" s="496"/>
      <c r="B3" s="496"/>
      <c r="C3" s="422" t="str">
        <f>'Tables and Calculations'!B2</f>
        <v>Jan</v>
      </c>
      <c r="D3" s="422" t="str">
        <f>'Tables and Calculations'!C2</f>
        <v>Feb</v>
      </c>
      <c r="E3" s="422" t="str">
        <f>'Tables and Calculations'!D2</f>
        <v>Mar</v>
      </c>
      <c r="F3" s="422" t="str">
        <f>'Tables and Calculations'!E2</f>
        <v>Apr</v>
      </c>
      <c r="G3" s="422" t="str">
        <f>'Tables and Calculations'!F2</f>
        <v>May</v>
      </c>
      <c r="H3" s="422" t="str">
        <f>'Tables and Calculations'!G2</f>
        <v>Jun</v>
      </c>
      <c r="I3" s="422" t="str">
        <f>'Tables and Calculations'!H2</f>
        <v>Jul</v>
      </c>
      <c r="J3" s="422" t="str">
        <f>'Tables and Calculations'!I2</f>
        <v>Aug</v>
      </c>
      <c r="K3" s="422" t="str">
        <f>'Tables and Calculations'!J2</f>
        <v>Sep</v>
      </c>
      <c r="L3" s="422" t="str">
        <f>'Tables and Calculations'!K2</f>
        <v>Oct</v>
      </c>
      <c r="M3" s="422" t="str">
        <f>'Tables and Calculations'!L2</f>
        <v>Nov</v>
      </c>
      <c r="N3" s="422" t="str">
        <f>'Tables and Calculations'!M2</f>
        <v>Dec</v>
      </c>
      <c r="O3" s="422" t="s">
        <v>60</v>
      </c>
    </row>
    <row r="4" spans="1:18" ht="15" customHeight="1" thickBot="1">
      <c r="A4" s="672" t="s">
        <v>41</v>
      </c>
      <c r="B4" s="672"/>
      <c r="C4" s="443">
        <f>'Assets and Depreciation'!B17</f>
        <v>0</v>
      </c>
      <c r="D4" s="443" t="e">
        <f t="shared" ref="D4:N4" si="0">C7</f>
        <v>#VALUE!</v>
      </c>
      <c r="E4" s="443" t="e">
        <f t="shared" si="0"/>
        <v>#VALUE!</v>
      </c>
      <c r="F4" s="443" t="e">
        <f t="shared" si="0"/>
        <v>#VALUE!</v>
      </c>
      <c r="G4" s="443" t="e">
        <f t="shared" si="0"/>
        <v>#VALUE!</v>
      </c>
      <c r="H4" s="443" t="e">
        <f t="shared" si="0"/>
        <v>#VALUE!</v>
      </c>
      <c r="I4" s="443" t="e">
        <f t="shared" si="0"/>
        <v>#VALUE!</v>
      </c>
      <c r="J4" s="443" t="e">
        <f t="shared" si="0"/>
        <v>#VALUE!</v>
      </c>
      <c r="K4" s="443" t="e">
        <f t="shared" si="0"/>
        <v>#VALUE!</v>
      </c>
      <c r="L4" s="443" t="e">
        <f t="shared" si="0"/>
        <v>#VALUE!</v>
      </c>
      <c r="M4" s="443" t="e">
        <f t="shared" si="0"/>
        <v>#VALUE!</v>
      </c>
      <c r="N4" s="443" t="e">
        <f t="shared" si="0"/>
        <v>#VALUE!</v>
      </c>
      <c r="O4" s="445">
        <f>C4</f>
        <v>0</v>
      </c>
    </row>
    <row r="5" spans="1:18" ht="15" customHeight="1" thickBot="1">
      <c r="A5" s="672" t="s">
        <v>68</v>
      </c>
      <c r="B5" s="672"/>
      <c r="C5" s="443" t="e">
        <f t="shared" ref="C5:N5" si="1">C18</f>
        <v>#VALUE!</v>
      </c>
      <c r="D5" s="443" t="e">
        <f t="shared" si="1"/>
        <v>#VALUE!</v>
      </c>
      <c r="E5" s="443" t="e">
        <f t="shared" si="1"/>
        <v>#VALUE!</v>
      </c>
      <c r="F5" s="443" t="e">
        <f t="shared" si="1"/>
        <v>#VALUE!</v>
      </c>
      <c r="G5" s="443" t="e">
        <f t="shared" si="1"/>
        <v>#VALUE!</v>
      </c>
      <c r="H5" s="443" t="e">
        <f t="shared" si="1"/>
        <v>#VALUE!</v>
      </c>
      <c r="I5" s="443" t="e">
        <f t="shared" si="1"/>
        <v>#VALUE!</v>
      </c>
      <c r="J5" s="443" t="e">
        <f t="shared" si="1"/>
        <v>#VALUE!</v>
      </c>
      <c r="K5" s="443" t="e">
        <f t="shared" si="1"/>
        <v>#VALUE!</v>
      </c>
      <c r="L5" s="443" t="e">
        <f t="shared" si="1"/>
        <v>#VALUE!</v>
      </c>
      <c r="M5" s="443" t="e">
        <f t="shared" si="1"/>
        <v>#VALUE!</v>
      </c>
      <c r="N5" s="443" t="e">
        <f t="shared" si="1"/>
        <v>#VALUE!</v>
      </c>
      <c r="O5" s="445" t="e">
        <f>SUM(C5:N5)</f>
        <v>#VALUE!</v>
      </c>
      <c r="P5" s="227"/>
    </row>
    <row r="6" spans="1:18" ht="15" customHeight="1" thickBot="1">
      <c r="A6" s="672" t="s">
        <v>115</v>
      </c>
      <c r="B6" s="672"/>
      <c r="C6" s="443" t="e">
        <f>C87</f>
        <v>#VALUE!</v>
      </c>
      <c r="D6" s="443" t="e">
        <f t="shared" ref="D6:N6" si="2">D87</f>
        <v>#VALUE!</v>
      </c>
      <c r="E6" s="443" t="e">
        <f t="shared" si="2"/>
        <v>#VALUE!</v>
      </c>
      <c r="F6" s="443" t="e">
        <f t="shared" si="2"/>
        <v>#VALUE!</v>
      </c>
      <c r="G6" s="443" t="e">
        <f t="shared" si="2"/>
        <v>#VALUE!</v>
      </c>
      <c r="H6" s="443" t="e">
        <f t="shared" si="2"/>
        <v>#VALUE!</v>
      </c>
      <c r="I6" s="443" t="e">
        <f t="shared" si="2"/>
        <v>#VALUE!</v>
      </c>
      <c r="J6" s="443" t="e">
        <f t="shared" si="2"/>
        <v>#VALUE!</v>
      </c>
      <c r="K6" s="443" t="e">
        <f t="shared" si="2"/>
        <v>#VALUE!</v>
      </c>
      <c r="L6" s="443" t="e">
        <f t="shared" si="2"/>
        <v>#VALUE!</v>
      </c>
      <c r="M6" s="443" t="e">
        <f t="shared" si="2"/>
        <v>#VALUE!</v>
      </c>
      <c r="N6" s="443" t="e">
        <f t="shared" si="2"/>
        <v>#VALUE!</v>
      </c>
      <c r="O6" s="445" t="e">
        <f>SUM(C6:N6)</f>
        <v>#VALUE!</v>
      </c>
    </row>
    <row r="7" spans="1:18" ht="15" customHeight="1" thickBot="1">
      <c r="A7" s="672" t="s">
        <v>253</v>
      </c>
      <c r="B7" s="672"/>
      <c r="C7" s="443" t="e">
        <f>SUM(C4+C5-C6)</f>
        <v>#VALUE!</v>
      </c>
      <c r="D7" s="443" t="e">
        <f t="shared" ref="D7:N7" si="3">SUM(D4+D5-D6)</f>
        <v>#VALUE!</v>
      </c>
      <c r="E7" s="443" t="e">
        <f t="shared" si="3"/>
        <v>#VALUE!</v>
      </c>
      <c r="F7" s="443" t="e">
        <f t="shared" si="3"/>
        <v>#VALUE!</v>
      </c>
      <c r="G7" s="443" t="e">
        <f t="shared" si="3"/>
        <v>#VALUE!</v>
      </c>
      <c r="H7" s="443" t="e">
        <f t="shared" si="3"/>
        <v>#VALUE!</v>
      </c>
      <c r="I7" s="443" t="e">
        <f t="shared" si="3"/>
        <v>#VALUE!</v>
      </c>
      <c r="J7" s="443" t="e">
        <f t="shared" si="3"/>
        <v>#VALUE!</v>
      </c>
      <c r="K7" s="443" t="e">
        <f t="shared" si="3"/>
        <v>#VALUE!</v>
      </c>
      <c r="L7" s="443" t="e">
        <f t="shared" si="3"/>
        <v>#VALUE!</v>
      </c>
      <c r="M7" s="443" t="e">
        <f t="shared" si="3"/>
        <v>#VALUE!</v>
      </c>
      <c r="N7" s="443" t="e">
        <f t="shared" si="3"/>
        <v>#VALUE!</v>
      </c>
      <c r="O7" s="445" t="e">
        <f>N7</f>
        <v>#VALUE!</v>
      </c>
      <c r="P7" s="686" t="e">
        <f>IF(OR(C7&lt;0,D7&lt;0,E7&lt;0,F7&lt;0,G7&lt;0,H7&lt;0,I7&lt;0,J7&lt;0,K7&lt;0,L7&lt;0,M7&lt;0,N7&lt;0),"Negative balances to be addressed"," ")</f>
        <v>#VALUE!</v>
      </c>
      <c r="Q7" s="687"/>
    </row>
    <row r="8" spans="1:18" ht="15" customHeight="1" thickBot="1">
      <c r="A8" s="496"/>
      <c r="B8" s="496"/>
      <c r="C8" s="443"/>
      <c r="D8" s="443"/>
      <c r="E8" s="443"/>
      <c r="F8" s="443"/>
      <c r="G8" s="443"/>
      <c r="H8" s="443"/>
      <c r="I8" s="443"/>
      <c r="J8" s="443"/>
      <c r="K8" s="443"/>
      <c r="L8" s="443"/>
      <c r="M8" s="443"/>
      <c r="N8" s="443"/>
      <c r="O8" s="445"/>
      <c r="P8" s="228"/>
      <c r="Q8" s="229"/>
    </row>
    <row r="9" spans="1:18" ht="15" customHeight="1" thickBot="1">
      <c r="A9" s="672" t="s">
        <v>142</v>
      </c>
      <c r="B9" s="672"/>
      <c r="C9" s="443">
        <f>$P$9+SUM('Sales Forecast Year 1'!$D40:D40)-SUM('Sales Forecast Year 1'!$D42:D42)</f>
        <v>0</v>
      </c>
      <c r="D9" s="443">
        <f>$P$9+SUM('Sales Forecast Year 1'!$D40:E40)-SUM('Sales Forecast Year 1'!$D42:E42)</f>
        <v>0</v>
      </c>
      <c r="E9" s="443">
        <f>$P$9+SUM('Sales Forecast Year 1'!$D40:F40)-SUM('Sales Forecast Year 1'!$D42:F42)</f>
        <v>0</v>
      </c>
      <c r="F9" s="443">
        <f>$P$9+SUM('Sales Forecast Year 1'!$D40:G40)-SUM('Sales Forecast Year 1'!$D42:G42)</f>
        <v>0</v>
      </c>
      <c r="G9" s="443">
        <f>$P$9+SUM('Sales Forecast Year 1'!$D40:H40)-SUM('Sales Forecast Year 1'!$D42:H42)</f>
        <v>0</v>
      </c>
      <c r="H9" s="443">
        <f>$P$9+SUM('Sales Forecast Year 1'!$D40:I40)-SUM('Sales Forecast Year 1'!$D42:I42)</f>
        <v>0</v>
      </c>
      <c r="I9" s="443">
        <f>$P$9+SUM('Sales Forecast Year 1'!$D40:J40)-SUM('Sales Forecast Year 1'!$D42:J42)</f>
        <v>0</v>
      </c>
      <c r="J9" s="443">
        <f>$P$9+SUM('Sales Forecast Year 1'!$D40:K40)-SUM('Sales Forecast Year 1'!$D42:K42)</f>
        <v>0</v>
      </c>
      <c r="K9" s="443">
        <f>$P$9+SUM('Sales Forecast Year 1'!$D40:L40)-SUM('Sales Forecast Year 1'!$D42:L42)</f>
        <v>0</v>
      </c>
      <c r="L9" s="443">
        <f>$P$9+SUM('Sales Forecast Year 1'!$D40:M40)-SUM('Sales Forecast Year 1'!$D42:M42)</f>
        <v>0</v>
      </c>
      <c r="M9" s="443">
        <f>$P$9+SUM('Sales Forecast Year 1'!$D40:N40)-SUM('Sales Forecast Year 1'!$D42:N42)</f>
        <v>0</v>
      </c>
      <c r="N9" s="443">
        <f>$P$9+SUM('Sales Forecast Year 1'!$D40:O40)-SUM('Sales Forecast Year 1'!$D42:O42)</f>
        <v>0</v>
      </c>
      <c r="O9" s="445"/>
      <c r="P9" s="686"/>
      <c r="Q9" s="687"/>
    </row>
    <row r="10" spans="1:18" ht="25.9" customHeight="1" thickBot="1">
      <c r="A10" s="230"/>
      <c r="B10" s="230"/>
      <c r="C10" s="225"/>
      <c r="D10" s="225"/>
      <c r="E10" s="225"/>
      <c r="F10" s="225"/>
      <c r="G10" s="225"/>
      <c r="H10" s="225"/>
      <c r="I10" s="225"/>
      <c r="J10" s="225"/>
      <c r="K10" s="225"/>
      <c r="L10" s="225"/>
      <c r="M10" s="225"/>
      <c r="N10" s="225"/>
      <c r="O10" s="225"/>
      <c r="P10" s="229"/>
      <c r="Q10" s="229"/>
    </row>
    <row r="11" spans="1:18" ht="28.15" customHeight="1" thickBot="1">
      <c r="A11" s="526" t="s">
        <v>254</v>
      </c>
      <c r="B11" s="526"/>
      <c r="C11" s="526"/>
      <c r="D11" s="526"/>
      <c r="E11" s="526"/>
      <c r="F11" s="526"/>
      <c r="G11" s="526"/>
      <c r="H11" s="526"/>
      <c r="I11" s="526"/>
      <c r="J11" s="526"/>
      <c r="K11" s="526"/>
      <c r="L11" s="526"/>
      <c r="M11" s="526"/>
      <c r="N11" s="526"/>
      <c r="O11" s="526"/>
      <c r="R11" s="231" t="s">
        <v>255</v>
      </c>
    </row>
    <row r="12" spans="1:18" ht="21" customHeight="1" thickBot="1">
      <c r="A12" s="444" t="s">
        <v>256</v>
      </c>
      <c r="B12" s="232"/>
      <c r="C12" s="443" t="e">
        <f>'Debtors analysis'!C22</f>
        <v>#VALUE!</v>
      </c>
      <c r="D12" s="443" t="e">
        <f>'Debtors analysis'!D22</f>
        <v>#VALUE!</v>
      </c>
      <c r="E12" s="443" t="e">
        <f>'Debtors analysis'!E22</f>
        <v>#VALUE!</v>
      </c>
      <c r="F12" s="443" t="e">
        <f>'Debtors analysis'!F22</f>
        <v>#VALUE!</v>
      </c>
      <c r="G12" s="443" t="e">
        <f>'Debtors analysis'!G22</f>
        <v>#VALUE!</v>
      </c>
      <c r="H12" s="443" t="e">
        <f>'Debtors analysis'!H22</f>
        <v>#VALUE!</v>
      </c>
      <c r="I12" s="443" t="e">
        <f>'Debtors analysis'!I22</f>
        <v>#VALUE!</v>
      </c>
      <c r="J12" s="443" t="e">
        <f>'Debtors analysis'!J22</f>
        <v>#VALUE!</v>
      </c>
      <c r="K12" s="443" t="e">
        <f>'Debtors analysis'!K22</f>
        <v>#VALUE!</v>
      </c>
      <c r="L12" s="443" t="e">
        <f>'Debtors analysis'!L22</f>
        <v>#VALUE!</v>
      </c>
      <c r="M12" s="443" t="e">
        <f>'Debtors analysis'!M22</f>
        <v>#VALUE!</v>
      </c>
      <c r="N12" s="443" t="e">
        <f>'Debtors analysis'!N22</f>
        <v>#VALUE!</v>
      </c>
      <c r="O12" s="445" t="e">
        <f>SUM(C12:N12)</f>
        <v>#VALUE!</v>
      </c>
      <c r="R12" s="233">
        <f>('Debtors analysis'!AC22)</f>
        <v>0</v>
      </c>
    </row>
    <row r="13" spans="1:18" ht="21" customHeight="1" thickBot="1">
      <c r="A13" s="444"/>
      <c r="B13" s="234"/>
      <c r="C13" s="688"/>
      <c r="D13" s="689"/>
      <c r="E13" s="689"/>
      <c r="F13" s="689"/>
      <c r="G13" s="689"/>
      <c r="H13" s="689"/>
      <c r="I13" s="689"/>
      <c r="J13" s="689"/>
      <c r="K13" s="689"/>
      <c r="L13" s="689"/>
      <c r="M13" s="689"/>
      <c r="N13" s="689"/>
      <c r="O13" s="690"/>
      <c r="R13" s="235"/>
    </row>
    <row r="14" spans="1:18" ht="21" customHeight="1" thickBot="1">
      <c r="A14" s="444"/>
      <c r="B14" s="236"/>
      <c r="C14" s="443"/>
      <c r="D14" s="443"/>
      <c r="E14" s="443"/>
      <c r="F14" s="443"/>
      <c r="G14" s="443"/>
      <c r="H14" s="443"/>
      <c r="I14" s="443"/>
      <c r="J14" s="443"/>
      <c r="K14" s="443"/>
      <c r="L14" s="443"/>
      <c r="M14" s="443"/>
      <c r="N14" s="443"/>
      <c r="O14" s="445">
        <f>SUM(C14:N14)</f>
        <v>0</v>
      </c>
      <c r="R14" s="237">
        <f>(O14*'Tables and Calculations'!C7)</f>
        <v>0</v>
      </c>
    </row>
    <row r="15" spans="1:18" ht="21" customHeight="1" thickBot="1">
      <c r="A15" s="444" t="s">
        <v>257</v>
      </c>
      <c r="B15" s="238"/>
      <c r="C15" s="688"/>
      <c r="D15" s="689"/>
      <c r="E15" s="689"/>
      <c r="F15" s="689"/>
      <c r="G15" s="689"/>
      <c r="H15" s="689"/>
      <c r="I15" s="689"/>
      <c r="J15" s="689"/>
      <c r="K15" s="689"/>
      <c r="L15" s="689"/>
      <c r="M15" s="689"/>
      <c r="N15" s="689"/>
      <c r="O15" s="690"/>
      <c r="R15" s="235"/>
    </row>
    <row r="16" spans="1:18" ht="27.75" customHeight="1" thickBot="1">
      <c r="A16" s="444" t="s">
        <v>258</v>
      </c>
      <c r="B16" s="239" t="s">
        <v>259</v>
      </c>
      <c r="C16" s="443">
        <f>IF('Business Loans'!$A$18=C97,'Business Loans'!$B$12,0)+IF('Business Loans'!$A$36=C97,'Business Loans'!$B$30,0)</f>
        <v>0</v>
      </c>
      <c r="D16" s="443">
        <f>IF('Business Loans'!$A$18=D97,'Business Loans'!$B$12,0)+IF('Business Loans'!$A$36=D97,'Business Loans'!$B$30,0)</f>
        <v>0</v>
      </c>
      <c r="E16" s="443">
        <f>IF('Business Loans'!$A$18=E97,'Business Loans'!$B$12,0)+IF('Business Loans'!$A$36=E97,'Business Loans'!$B$30,0)</f>
        <v>0</v>
      </c>
      <c r="F16" s="443">
        <f>IF('Business Loans'!$A$18=F97,'Business Loans'!$B$12,0)+IF('Business Loans'!$A$36=F97,'Business Loans'!$B$30,0)</f>
        <v>0</v>
      </c>
      <c r="G16" s="443">
        <f>IF('Business Loans'!$A$18=G97,'Business Loans'!$B$12,0)+IF('Business Loans'!$A$36=G97,'Business Loans'!$B$30,0)</f>
        <v>0</v>
      </c>
      <c r="H16" s="443">
        <f>IF('Business Loans'!$A$18=H97,'Business Loans'!$B$12,0)+IF('Business Loans'!$A$36=H97,'Business Loans'!$B$30,0)</f>
        <v>0</v>
      </c>
      <c r="I16" s="443">
        <f>IF('Business Loans'!$A$18=I97,'Business Loans'!$B$12,0)+IF('Business Loans'!$A$36=I97,'Business Loans'!$B$30,0)</f>
        <v>0</v>
      </c>
      <c r="J16" s="443">
        <f>IF('Business Loans'!$A$18=J97,'Business Loans'!$B$12,0)+IF('Business Loans'!$A$36=J97,'Business Loans'!$B$30,0)</f>
        <v>0</v>
      </c>
      <c r="K16" s="443">
        <f>IF('Business Loans'!$A$18=K97,'Business Loans'!$B$12,0)+IF('Business Loans'!$A$36=K97,'Business Loans'!$B$30,0)</f>
        <v>0</v>
      </c>
      <c r="L16" s="443">
        <f>IF('Business Loans'!$A$18=L97,'Business Loans'!$B$12,0)+IF('Business Loans'!$A$36=L97,'Business Loans'!$B$30,0)</f>
        <v>0</v>
      </c>
      <c r="M16" s="443">
        <f>IF('Business Loans'!$A$18=M97,'Business Loans'!$B$12,0)+IF('Business Loans'!$A$36=M97,'Business Loans'!$B$30,0)</f>
        <v>0</v>
      </c>
      <c r="N16" s="443">
        <f>IF('Business Loans'!$A$18=N97,'Business Loans'!$B$12,0)+IF('Business Loans'!$A$36=N97,'Business Loans'!$B$30,0)</f>
        <v>0</v>
      </c>
      <c r="O16" s="445">
        <f>SUM(C16:N16)</f>
        <v>0</v>
      </c>
      <c r="R16" s="235"/>
    </row>
    <row r="17" spans="1:19" ht="32.25" customHeight="1" thickBot="1">
      <c r="A17" s="444"/>
      <c r="B17" s="239" t="s">
        <v>259</v>
      </c>
      <c r="C17" s="443"/>
      <c r="D17" s="443"/>
      <c r="E17" s="443"/>
      <c r="F17" s="443"/>
      <c r="G17" s="443"/>
      <c r="H17" s="443"/>
      <c r="I17" s="443"/>
      <c r="J17" s="443"/>
      <c r="K17" s="443"/>
      <c r="L17" s="443"/>
      <c r="M17" s="443"/>
      <c r="N17" s="443"/>
      <c r="O17" s="445">
        <f>SUM(C17:N17)</f>
        <v>0</v>
      </c>
      <c r="R17" s="235"/>
    </row>
    <row r="18" spans="1:19" ht="21" customHeight="1" thickBot="1">
      <c r="A18" s="645" t="s">
        <v>68</v>
      </c>
      <c r="B18" s="645"/>
      <c r="C18" s="445" t="e">
        <f t="shared" ref="C18:O18" si="4">SUM(C12:C17)</f>
        <v>#VALUE!</v>
      </c>
      <c r="D18" s="445" t="e">
        <f t="shared" si="4"/>
        <v>#VALUE!</v>
      </c>
      <c r="E18" s="445" t="e">
        <f t="shared" si="4"/>
        <v>#VALUE!</v>
      </c>
      <c r="F18" s="445" t="e">
        <f t="shared" si="4"/>
        <v>#VALUE!</v>
      </c>
      <c r="G18" s="445" t="e">
        <f t="shared" si="4"/>
        <v>#VALUE!</v>
      </c>
      <c r="H18" s="445" t="e">
        <f t="shared" si="4"/>
        <v>#VALUE!</v>
      </c>
      <c r="I18" s="445" t="e">
        <f t="shared" si="4"/>
        <v>#VALUE!</v>
      </c>
      <c r="J18" s="445" t="e">
        <f t="shared" si="4"/>
        <v>#VALUE!</v>
      </c>
      <c r="K18" s="445" t="e">
        <f t="shared" si="4"/>
        <v>#VALUE!</v>
      </c>
      <c r="L18" s="445" t="e">
        <f t="shared" si="4"/>
        <v>#VALUE!</v>
      </c>
      <c r="M18" s="445" t="e">
        <f t="shared" si="4"/>
        <v>#VALUE!</v>
      </c>
      <c r="N18" s="445" t="e">
        <f t="shared" si="4"/>
        <v>#VALUE!</v>
      </c>
      <c r="O18" s="445" t="e">
        <f t="shared" si="4"/>
        <v>#VALUE!</v>
      </c>
      <c r="R18" s="235"/>
      <c r="S18" s="39"/>
    </row>
    <row r="19" spans="1:19">
      <c r="R19" s="235"/>
    </row>
    <row r="20" spans="1:19" ht="28.9" customHeight="1" thickBot="1">
      <c r="A20" s="526" t="s">
        <v>260</v>
      </c>
      <c r="B20" s="526"/>
      <c r="C20" s="526"/>
      <c r="D20" s="526"/>
      <c r="E20" s="526"/>
      <c r="F20" s="526"/>
      <c r="G20" s="526"/>
      <c r="H20" s="526"/>
      <c r="I20" s="526"/>
      <c r="J20" s="526"/>
      <c r="K20" s="526"/>
      <c r="L20" s="526"/>
      <c r="M20" s="526"/>
      <c r="N20" s="526"/>
      <c r="O20" s="526"/>
      <c r="R20" s="235"/>
    </row>
    <row r="21" spans="1:19" ht="21" customHeight="1" thickBot="1">
      <c r="A21" s="422" t="s">
        <v>261</v>
      </c>
      <c r="B21" s="222"/>
      <c r="C21" s="422" t="str">
        <f>'Tables and Calculations'!B2</f>
        <v>Jan</v>
      </c>
      <c r="D21" s="422" t="str">
        <f>'Tables and Calculations'!C2</f>
        <v>Feb</v>
      </c>
      <c r="E21" s="422" t="str">
        <f>'Tables and Calculations'!D2</f>
        <v>Mar</v>
      </c>
      <c r="F21" s="422" t="str">
        <f>'Tables and Calculations'!E2</f>
        <v>Apr</v>
      </c>
      <c r="G21" s="422" t="str">
        <f>'Tables and Calculations'!F2</f>
        <v>May</v>
      </c>
      <c r="H21" s="422" t="str">
        <f>'Tables and Calculations'!G2</f>
        <v>Jun</v>
      </c>
      <c r="I21" s="422" t="str">
        <f>'Tables and Calculations'!H2</f>
        <v>Jul</v>
      </c>
      <c r="J21" s="422" t="str">
        <f>'Tables and Calculations'!I2</f>
        <v>Aug</v>
      </c>
      <c r="K21" s="422" t="str">
        <f>'Tables and Calculations'!J2</f>
        <v>Sep</v>
      </c>
      <c r="L21" s="422" t="str">
        <f>'Tables and Calculations'!K2</f>
        <v>Oct</v>
      </c>
      <c r="M21" s="422" t="str">
        <f>'Tables and Calculations'!L2</f>
        <v>Nov</v>
      </c>
      <c r="N21" s="422" t="str">
        <f>'Tables and Calculations'!M2</f>
        <v>Dec</v>
      </c>
      <c r="O21" s="240" t="s">
        <v>60</v>
      </c>
      <c r="R21" s="235"/>
    </row>
    <row r="22" spans="1:19" ht="21" customHeight="1" thickBot="1">
      <c r="A22" s="444" t="s">
        <v>262</v>
      </c>
      <c r="B22" s="223"/>
      <c r="C22" s="443">
        <f>'Sales Forecast Year 1'!D74</f>
        <v>0</v>
      </c>
      <c r="D22" s="443">
        <f>'Sales Forecast Year 1'!E74</f>
        <v>0</v>
      </c>
      <c r="E22" s="443">
        <f>'Sales Forecast Year 1'!F74</f>
        <v>0</v>
      </c>
      <c r="F22" s="443">
        <f>'Sales Forecast Year 1'!G74</f>
        <v>0</v>
      </c>
      <c r="G22" s="443">
        <f>'Sales Forecast Year 1'!H74</f>
        <v>0</v>
      </c>
      <c r="H22" s="443">
        <f>'Sales Forecast Year 1'!I74</f>
        <v>0</v>
      </c>
      <c r="I22" s="443">
        <f>'Sales Forecast Year 1'!J74</f>
        <v>0</v>
      </c>
      <c r="J22" s="443">
        <f>'Sales Forecast Year 1'!K74</f>
        <v>0</v>
      </c>
      <c r="K22" s="443">
        <f>'Sales Forecast Year 1'!L74</f>
        <v>0</v>
      </c>
      <c r="L22" s="443">
        <f>'Sales Forecast Year 1'!M74</f>
        <v>0</v>
      </c>
      <c r="M22" s="443">
        <f>'Sales Forecast Year 1'!N74</f>
        <v>0</v>
      </c>
      <c r="N22" s="443">
        <f>'Sales Forecast Year 1'!O74</f>
        <v>0</v>
      </c>
      <c r="O22" s="445">
        <f>SUM(C22:N22)</f>
        <v>0</v>
      </c>
      <c r="R22" s="241">
        <f>(O22*'Tables and Calculations'!C7)</f>
        <v>0</v>
      </c>
    </row>
    <row r="23" spans="1:19" ht="21" customHeight="1" thickBot="1">
      <c r="A23" s="444"/>
      <c r="B23" s="223"/>
      <c r="C23" s="443"/>
      <c r="D23" s="443"/>
      <c r="E23" s="443"/>
      <c r="F23" s="443"/>
      <c r="G23" s="443"/>
      <c r="H23" s="443"/>
      <c r="I23" s="443"/>
      <c r="J23" s="443"/>
      <c r="K23" s="443"/>
      <c r="L23" s="443"/>
      <c r="M23" s="443"/>
      <c r="N23" s="443"/>
      <c r="O23" s="445">
        <f t="shared" ref="O23:O24" si="5">SUM(C23:N23)</f>
        <v>0</v>
      </c>
      <c r="R23" s="241">
        <f>(O23*'Tables and Calculations'!C7)</f>
        <v>0</v>
      </c>
    </row>
    <row r="24" spans="1:19" ht="21" customHeight="1" thickBot="1">
      <c r="A24" s="444"/>
      <c r="B24" s="223"/>
      <c r="C24" s="443"/>
      <c r="D24" s="443"/>
      <c r="E24" s="443"/>
      <c r="F24" s="443"/>
      <c r="G24" s="443"/>
      <c r="H24" s="443"/>
      <c r="I24" s="443"/>
      <c r="J24" s="443"/>
      <c r="K24" s="443"/>
      <c r="L24" s="443"/>
      <c r="M24" s="443"/>
      <c r="N24" s="443"/>
      <c r="O24" s="445">
        <f t="shared" si="5"/>
        <v>0</v>
      </c>
      <c r="R24" s="241">
        <f>(O24*'Tables and Calculations'!C7)</f>
        <v>0</v>
      </c>
    </row>
    <row r="25" spans="1:19" ht="21" customHeight="1" thickBot="1">
      <c r="A25" s="685" t="s">
        <v>263</v>
      </c>
      <c r="B25" s="685"/>
      <c r="C25" s="445">
        <f>SUM(C21:C24)</f>
        <v>0</v>
      </c>
      <c r="D25" s="445">
        <f t="shared" ref="D25:N25" si="6">SUM(D21:D24)</f>
        <v>0</v>
      </c>
      <c r="E25" s="445">
        <f t="shared" si="6"/>
        <v>0</v>
      </c>
      <c r="F25" s="445">
        <f t="shared" si="6"/>
        <v>0</v>
      </c>
      <c r="G25" s="445">
        <f t="shared" si="6"/>
        <v>0</v>
      </c>
      <c r="H25" s="445">
        <f t="shared" si="6"/>
        <v>0</v>
      </c>
      <c r="I25" s="445">
        <f t="shared" si="6"/>
        <v>0</v>
      </c>
      <c r="J25" s="445">
        <f t="shared" si="6"/>
        <v>0</v>
      </c>
      <c r="K25" s="445">
        <f t="shared" si="6"/>
        <v>0</v>
      </c>
      <c r="L25" s="445">
        <f t="shared" si="6"/>
        <v>0</v>
      </c>
      <c r="M25" s="445">
        <f t="shared" si="6"/>
        <v>0</v>
      </c>
      <c r="N25" s="445">
        <f t="shared" si="6"/>
        <v>0</v>
      </c>
      <c r="O25" s="445">
        <f>SUM(O22:O24)</f>
        <v>0</v>
      </c>
      <c r="R25" s="235"/>
      <c r="S25" s="39"/>
    </row>
    <row r="26" spans="1:19" ht="21" customHeight="1" thickBot="1">
      <c r="A26" s="422" t="s">
        <v>264</v>
      </c>
      <c r="B26" s="222"/>
      <c r="C26" s="242"/>
      <c r="D26" s="242"/>
      <c r="E26" s="242"/>
      <c r="F26" s="242"/>
      <c r="G26" s="242"/>
      <c r="H26" s="242"/>
      <c r="I26" s="242"/>
      <c r="J26" s="242"/>
      <c r="K26" s="242"/>
      <c r="L26" s="242"/>
      <c r="M26" s="242"/>
      <c r="N26" s="242"/>
      <c r="O26" s="243"/>
      <c r="R26" s="235"/>
    </row>
    <row r="27" spans="1:19" ht="21" customHeight="1" thickBot="1">
      <c r="A27" s="498" t="s">
        <v>265</v>
      </c>
      <c r="B27" s="223"/>
      <c r="C27" s="443">
        <f>'Marketing Action Plan Year 1'!C40</f>
        <v>0</v>
      </c>
      <c r="D27" s="443">
        <f>'Marketing Action Plan Year 1'!D40</f>
        <v>0</v>
      </c>
      <c r="E27" s="443">
        <f>'Marketing Action Plan Year 1'!E40</f>
        <v>0</v>
      </c>
      <c r="F27" s="443">
        <f>'Marketing Action Plan Year 1'!F40</f>
        <v>0</v>
      </c>
      <c r="G27" s="443">
        <f>'Marketing Action Plan Year 1'!G40</f>
        <v>0</v>
      </c>
      <c r="H27" s="443">
        <f>'Marketing Action Plan Year 1'!H40</f>
        <v>0</v>
      </c>
      <c r="I27" s="443">
        <f>'Marketing Action Plan Year 1'!I40</f>
        <v>0</v>
      </c>
      <c r="J27" s="443">
        <f>'Marketing Action Plan Year 1'!J40</f>
        <v>0</v>
      </c>
      <c r="K27" s="443">
        <f>'Marketing Action Plan Year 1'!K40</f>
        <v>0</v>
      </c>
      <c r="L27" s="443">
        <f>'Marketing Action Plan Year 1'!L40</f>
        <v>0</v>
      </c>
      <c r="M27" s="443">
        <f>'Marketing Action Plan Year 1'!M40</f>
        <v>0</v>
      </c>
      <c r="N27" s="443">
        <f>'Marketing Action Plan Year 1'!N40</f>
        <v>0</v>
      </c>
      <c r="O27" s="445">
        <f>SUM(C27:N27)</f>
        <v>0</v>
      </c>
      <c r="R27" s="244">
        <f>(O27*'Tables and Calculations'!C7)</f>
        <v>0</v>
      </c>
    </row>
    <row r="28" spans="1:19" ht="21" customHeight="1" thickBot="1">
      <c r="A28" s="444" t="s">
        <v>266</v>
      </c>
      <c r="B28" s="245"/>
      <c r="C28" s="443"/>
      <c r="D28" s="443"/>
      <c r="E28" s="443"/>
      <c r="F28" s="443"/>
      <c r="G28" s="443"/>
      <c r="H28" s="443"/>
      <c r="I28" s="443"/>
      <c r="J28" s="443"/>
      <c r="K28" s="443"/>
      <c r="L28" s="443"/>
      <c r="M28" s="443"/>
      <c r="N28" s="443"/>
      <c r="O28" s="445">
        <f t="shared" ref="O28:O52" si="7">SUM(C28:N28)</f>
        <v>0</v>
      </c>
      <c r="R28" s="244">
        <f>(O28*'Tables and Calculations'!C7)</f>
        <v>0</v>
      </c>
    </row>
    <row r="29" spans="1:19" ht="21" customHeight="1" thickBot="1">
      <c r="A29" s="444" t="s">
        <v>267</v>
      </c>
      <c r="B29" s="245"/>
      <c r="C29" s="443"/>
      <c r="D29" s="443"/>
      <c r="E29" s="443"/>
      <c r="F29" s="443"/>
      <c r="G29" s="443"/>
      <c r="H29" s="443"/>
      <c r="I29" s="443"/>
      <c r="J29" s="443"/>
      <c r="K29" s="443"/>
      <c r="L29" s="443"/>
      <c r="M29" s="443"/>
      <c r="N29" s="443"/>
      <c r="O29" s="445">
        <f t="shared" si="7"/>
        <v>0</v>
      </c>
      <c r="R29" s="244">
        <f>(O29*'Tables and Calculations'!C7)</f>
        <v>0</v>
      </c>
    </row>
    <row r="30" spans="1:19" ht="21" customHeight="1" thickBot="1">
      <c r="A30" s="444" t="s">
        <v>268</v>
      </c>
      <c r="B30" s="245"/>
      <c r="C30" s="443"/>
      <c r="D30" s="443"/>
      <c r="E30" s="443"/>
      <c r="F30" s="443"/>
      <c r="G30" s="443"/>
      <c r="H30" s="443"/>
      <c r="I30" s="443"/>
      <c r="J30" s="443"/>
      <c r="K30" s="443"/>
      <c r="L30" s="443"/>
      <c r="M30" s="443"/>
      <c r="N30" s="443"/>
      <c r="O30" s="445">
        <f t="shared" si="7"/>
        <v>0</v>
      </c>
      <c r="R30" s="244">
        <f>(O30*'Tables and Calculations'!C7)</f>
        <v>0</v>
      </c>
    </row>
    <row r="31" spans="1:19" ht="21" customHeight="1" thickBot="1">
      <c r="A31" s="444" t="s">
        <v>269</v>
      </c>
      <c r="B31" s="245"/>
      <c r="C31" s="443"/>
      <c r="D31" s="443"/>
      <c r="E31" s="443"/>
      <c r="F31" s="443"/>
      <c r="G31" s="443"/>
      <c r="H31" s="443"/>
      <c r="I31" s="443"/>
      <c r="J31" s="443"/>
      <c r="K31" s="443"/>
      <c r="L31" s="443"/>
      <c r="M31" s="443"/>
      <c r="N31" s="443"/>
      <c r="O31" s="445">
        <f t="shared" si="7"/>
        <v>0</v>
      </c>
      <c r="R31" s="244">
        <f>(O31*'Tables and Calculations'!C7)</f>
        <v>0</v>
      </c>
    </row>
    <row r="32" spans="1:19" ht="21" customHeight="1" thickBot="1">
      <c r="A32" s="444" t="s">
        <v>270</v>
      </c>
      <c r="B32" s="245"/>
      <c r="C32" s="443"/>
      <c r="D32" s="443"/>
      <c r="E32" s="443"/>
      <c r="F32" s="443"/>
      <c r="G32" s="443"/>
      <c r="H32" s="443"/>
      <c r="I32" s="443"/>
      <c r="J32" s="443"/>
      <c r="K32" s="443"/>
      <c r="L32" s="443"/>
      <c r="M32" s="443"/>
      <c r="N32" s="443"/>
      <c r="O32" s="445">
        <f t="shared" si="7"/>
        <v>0</v>
      </c>
      <c r="R32" s="244">
        <f>(O32*'Tables and Calculations'!C7)</f>
        <v>0</v>
      </c>
    </row>
    <row r="33" spans="1:23" ht="21" customHeight="1" thickBot="1">
      <c r="A33" s="444" t="s">
        <v>271</v>
      </c>
      <c r="B33" s="245"/>
      <c r="C33" s="443"/>
      <c r="D33" s="443"/>
      <c r="E33" s="443"/>
      <c r="F33" s="443"/>
      <c r="G33" s="443"/>
      <c r="H33" s="443"/>
      <c r="I33" s="443"/>
      <c r="J33" s="443"/>
      <c r="K33" s="443"/>
      <c r="L33" s="443"/>
      <c r="M33" s="443"/>
      <c r="N33" s="443"/>
      <c r="O33" s="445">
        <f t="shared" si="7"/>
        <v>0</v>
      </c>
      <c r="R33" s="244">
        <f>(O33*'Tables and Calculations'!C7)</f>
        <v>0</v>
      </c>
    </row>
    <row r="34" spans="1:23" ht="21" customHeight="1" thickBot="1">
      <c r="A34" s="499" t="s">
        <v>272</v>
      </c>
      <c r="B34" s="245"/>
      <c r="C34" s="443"/>
      <c r="D34" s="443"/>
      <c r="E34" s="443"/>
      <c r="F34" s="443"/>
      <c r="G34" s="443"/>
      <c r="H34" s="443"/>
      <c r="I34" s="443"/>
      <c r="J34" s="443"/>
      <c r="K34" s="443"/>
      <c r="L34" s="443"/>
      <c r="M34" s="443"/>
      <c r="N34" s="443"/>
      <c r="O34" s="445">
        <f t="shared" si="7"/>
        <v>0</v>
      </c>
      <c r="R34" s="244">
        <f>(O34*'Tables and Calculations'!C7)</f>
        <v>0</v>
      </c>
    </row>
    <row r="35" spans="1:23" ht="59.25" customHeight="1" thickBot="1">
      <c r="A35" s="499" t="s">
        <v>462</v>
      </c>
      <c r="B35" s="245"/>
      <c r="C35" s="443"/>
      <c r="D35" s="443"/>
      <c r="E35" s="443"/>
      <c r="F35" s="443"/>
      <c r="G35" s="443"/>
      <c r="H35" s="443"/>
      <c r="I35" s="443"/>
      <c r="J35" s="443"/>
      <c r="K35" s="443"/>
      <c r="L35" s="443"/>
      <c r="M35" s="443"/>
      <c r="N35" s="443"/>
      <c r="O35" s="445">
        <f t="shared" si="7"/>
        <v>0</v>
      </c>
      <c r="R35" s="244">
        <f>(O35*'Tables and Calculations'!C7)</f>
        <v>0</v>
      </c>
    </row>
    <row r="36" spans="1:23" ht="21" customHeight="1" thickBot="1">
      <c r="A36" s="499" t="s">
        <v>273</v>
      </c>
      <c r="B36" s="245"/>
      <c r="C36" s="443"/>
      <c r="D36" s="443"/>
      <c r="E36" s="443"/>
      <c r="F36" s="443"/>
      <c r="G36" s="443"/>
      <c r="H36" s="443"/>
      <c r="I36" s="443"/>
      <c r="J36" s="443"/>
      <c r="K36" s="443"/>
      <c r="L36" s="443"/>
      <c r="M36" s="443"/>
      <c r="N36" s="443"/>
      <c r="O36" s="445">
        <f t="shared" si="7"/>
        <v>0</v>
      </c>
      <c r="R36" s="244">
        <f>(O36*'Tables and Calculations'!C7)</f>
        <v>0</v>
      </c>
    </row>
    <row r="37" spans="1:23" ht="21" customHeight="1" thickBot="1">
      <c r="A37" s="499" t="s">
        <v>274</v>
      </c>
      <c r="B37" s="245"/>
      <c r="C37" s="443"/>
      <c r="D37" s="443"/>
      <c r="E37" s="443"/>
      <c r="F37" s="443"/>
      <c r="G37" s="443"/>
      <c r="H37" s="443"/>
      <c r="I37" s="443"/>
      <c r="J37" s="443"/>
      <c r="K37" s="443"/>
      <c r="L37" s="443"/>
      <c r="M37" s="443"/>
      <c r="N37" s="443"/>
      <c r="O37" s="445">
        <f t="shared" si="7"/>
        <v>0</v>
      </c>
      <c r="R37" s="244">
        <f>(O37*'Tables and Calculations'!C7)</f>
        <v>0</v>
      </c>
    </row>
    <row r="38" spans="1:23" ht="21" customHeight="1" thickBot="1">
      <c r="A38" s="499" t="s">
        <v>275</v>
      </c>
      <c r="B38" s="245"/>
      <c r="C38" s="443"/>
      <c r="D38" s="443"/>
      <c r="E38" s="443"/>
      <c r="F38" s="443"/>
      <c r="G38" s="443"/>
      <c r="H38" s="443"/>
      <c r="I38" s="443"/>
      <c r="J38" s="443"/>
      <c r="K38" s="443"/>
      <c r="L38" s="443"/>
      <c r="M38" s="443"/>
      <c r="N38" s="443"/>
      <c r="O38" s="445">
        <f>SUM(C38:N38)</f>
        <v>0</v>
      </c>
      <c r="R38" s="244">
        <f>(O38*'Tables and Calculations'!C7)</f>
        <v>0</v>
      </c>
    </row>
    <row r="39" spans="1:23" ht="21" customHeight="1" thickBot="1">
      <c r="A39" s="499" t="s">
        <v>276</v>
      </c>
      <c r="B39" s="245"/>
      <c r="C39" s="443"/>
      <c r="D39" s="443"/>
      <c r="E39" s="443"/>
      <c r="F39" s="443"/>
      <c r="G39" s="443"/>
      <c r="H39" s="443"/>
      <c r="I39" s="443"/>
      <c r="J39" s="443"/>
      <c r="K39" s="443"/>
      <c r="L39" s="443"/>
      <c r="M39" s="443"/>
      <c r="N39" s="443"/>
      <c r="O39" s="445">
        <f t="shared" si="7"/>
        <v>0</v>
      </c>
      <c r="R39" s="244">
        <f>(O39*'Tables and Calculations'!C7)</f>
        <v>0</v>
      </c>
    </row>
    <row r="40" spans="1:23" ht="21" customHeight="1" thickBot="1">
      <c r="A40" s="499" t="s">
        <v>277</v>
      </c>
      <c r="B40" s="245"/>
      <c r="C40" s="443"/>
      <c r="D40" s="443"/>
      <c r="E40" s="443"/>
      <c r="F40" s="443"/>
      <c r="G40" s="443"/>
      <c r="H40" s="443"/>
      <c r="I40" s="443"/>
      <c r="J40" s="443"/>
      <c r="K40" s="443"/>
      <c r="L40" s="443"/>
      <c r="M40" s="443"/>
      <c r="N40" s="443"/>
      <c r="O40" s="445">
        <f t="shared" si="7"/>
        <v>0</v>
      </c>
      <c r="R40" s="244">
        <f>(O40*'Tables and Calculations'!C7)</f>
        <v>0</v>
      </c>
    </row>
    <row r="41" spans="1:23" ht="21" customHeight="1" thickBot="1">
      <c r="A41" s="499" t="s">
        <v>278</v>
      </c>
      <c r="B41" s="245"/>
      <c r="C41" s="443"/>
      <c r="D41" s="443"/>
      <c r="E41" s="443"/>
      <c r="F41" s="443"/>
      <c r="G41" s="443"/>
      <c r="H41" s="443"/>
      <c r="I41" s="443"/>
      <c r="J41" s="443"/>
      <c r="K41" s="443"/>
      <c r="L41" s="443"/>
      <c r="M41" s="443"/>
      <c r="N41" s="443"/>
      <c r="O41" s="445">
        <f t="shared" si="7"/>
        <v>0</v>
      </c>
      <c r="R41" s="244">
        <f>(O41*'Tables and Calculations'!C7)</f>
        <v>0</v>
      </c>
    </row>
    <row r="42" spans="1:23" ht="21" customHeight="1" thickBot="1">
      <c r="A42" s="499" t="s">
        <v>279</v>
      </c>
      <c r="B42" s="245"/>
      <c r="C42" s="443"/>
      <c r="D42" s="443"/>
      <c r="E42" s="443"/>
      <c r="F42" s="443"/>
      <c r="G42" s="443"/>
      <c r="H42" s="443"/>
      <c r="I42" s="443"/>
      <c r="J42" s="443"/>
      <c r="K42" s="443"/>
      <c r="L42" s="443"/>
      <c r="M42" s="443"/>
      <c r="N42" s="443"/>
      <c r="O42" s="445">
        <f t="shared" si="7"/>
        <v>0</v>
      </c>
      <c r="R42" s="244">
        <f>(O42*'Tables and Calculations'!C7)</f>
        <v>0</v>
      </c>
    </row>
    <row r="43" spans="1:23" ht="21" customHeight="1" thickBot="1">
      <c r="A43" s="499" t="s">
        <v>88</v>
      </c>
      <c r="B43" s="245"/>
      <c r="C43" s="443"/>
      <c r="D43" s="443"/>
      <c r="E43" s="443"/>
      <c r="F43" s="443"/>
      <c r="G43" s="443"/>
      <c r="H43" s="443"/>
      <c r="I43" s="443"/>
      <c r="J43" s="443"/>
      <c r="K43" s="443"/>
      <c r="L43" s="443"/>
      <c r="M43" s="443"/>
      <c r="N43" s="443"/>
      <c r="O43" s="445">
        <f t="shared" si="7"/>
        <v>0</v>
      </c>
      <c r="R43" s="244">
        <f>(O43*'Tables and Calculations'!C7)</f>
        <v>0</v>
      </c>
    </row>
    <row r="44" spans="1:23" ht="21" customHeight="1" thickBot="1">
      <c r="A44" s="499" t="s">
        <v>280</v>
      </c>
      <c r="B44" s="245"/>
      <c r="C44" s="443"/>
      <c r="D44" s="443"/>
      <c r="E44" s="443"/>
      <c r="F44" s="443"/>
      <c r="G44" s="443"/>
      <c r="H44" s="443"/>
      <c r="I44" s="443"/>
      <c r="J44" s="443"/>
      <c r="K44" s="443"/>
      <c r="L44" s="443"/>
      <c r="M44" s="443"/>
      <c r="N44" s="443"/>
      <c r="O44" s="445">
        <f t="shared" si="7"/>
        <v>0</v>
      </c>
      <c r="R44" s="244">
        <f>(O44*'Tables and Calculations'!C7)</f>
        <v>0</v>
      </c>
      <c r="W44" s="246"/>
    </row>
    <row r="45" spans="1:23" ht="21" customHeight="1" thickBot="1">
      <c r="A45" s="499" t="s">
        <v>281</v>
      </c>
      <c r="B45" s="245"/>
      <c r="C45" s="443"/>
      <c r="D45" s="443"/>
      <c r="E45" s="443"/>
      <c r="F45" s="443"/>
      <c r="G45" s="443"/>
      <c r="H45" s="443"/>
      <c r="I45" s="443"/>
      <c r="J45" s="443"/>
      <c r="K45" s="443"/>
      <c r="L45" s="443"/>
      <c r="M45" s="443"/>
      <c r="N45" s="443"/>
      <c r="O45" s="445">
        <f t="shared" si="7"/>
        <v>0</v>
      </c>
      <c r="R45" s="244">
        <f>(O45*'Tables and Calculations'!C7)</f>
        <v>0</v>
      </c>
    </row>
    <row r="46" spans="1:23" ht="21" customHeight="1" thickBot="1">
      <c r="A46" s="499"/>
      <c r="B46" s="245"/>
      <c r="C46" s="443"/>
      <c r="D46" s="443"/>
      <c r="E46" s="443"/>
      <c r="F46" s="443"/>
      <c r="G46" s="443"/>
      <c r="H46" s="443"/>
      <c r="I46" s="443"/>
      <c r="J46" s="443"/>
      <c r="K46" s="443"/>
      <c r="L46" s="443"/>
      <c r="M46" s="443"/>
      <c r="N46" s="443"/>
      <c r="O46" s="445">
        <f t="shared" si="7"/>
        <v>0</v>
      </c>
      <c r="R46" s="244">
        <f>(O46*'Tables and Calculations'!C7)</f>
        <v>0</v>
      </c>
    </row>
    <row r="47" spans="1:23" ht="21" customHeight="1" thickBot="1">
      <c r="A47" s="500" t="s">
        <v>282</v>
      </c>
      <c r="B47" s="245"/>
      <c r="C47" s="247" t="e">
        <f>C12*'Sales Details'!M5/100*'Sales Details'!J5</f>
        <v>#VALUE!</v>
      </c>
      <c r="D47" s="247" t="e">
        <f>D12*'Sales Details'!M5/100*'Sales Details'!J5</f>
        <v>#VALUE!</v>
      </c>
      <c r="E47" s="247" t="e">
        <f>E12*'Sales Details'!M5/100*'Sales Details'!J5</f>
        <v>#VALUE!</v>
      </c>
      <c r="F47" s="247" t="e">
        <f>F12*'Sales Details'!M5/100*'Sales Details'!J5</f>
        <v>#VALUE!</v>
      </c>
      <c r="G47" s="247" t="e">
        <f>G12*'Sales Details'!M5/100*'Sales Details'!J5</f>
        <v>#VALUE!</v>
      </c>
      <c r="H47" s="247" t="e">
        <f>H12*'Sales Details'!M5/100*'Sales Details'!J5</f>
        <v>#VALUE!</v>
      </c>
      <c r="I47" s="247" t="e">
        <f>I12*'Sales Details'!M5/100*'Sales Details'!J5</f>
        <v>#VALUE!</v>
      </c>
      <c r="J47" s="247" t="e">
        <f>J12*'Sales Details'!M5/100*'Sales Details'!J5</f>
        <v>#VALUE!</v>
      </c>
      <c r="K47" s="247" t="e">
        <f>K12*'Sales Details'!M5/100*'Sales Details'!J5</f>
        <v>#VALUE!</v>
      </c>
      <c r="L47" s="247" t="e">
        <f>L12*'Sales Details'!M5/100*'Sales Details'!J5</f>
        <v>#VALUE!</v>
      </c>
      <c r="M47" s="247" t="e">
        <f>M12*'Sales Details'!M5/100*'Sales Details'!J5</f>
        <v>#VALUE!</v>
      </c>
      <c r="N47" s="248" t="e">
        <f>N12*'Sales Details'!M5/100*'Sales Details'!J5</f>
        <v>#VALUE!</v>
      </c>
      <c r="O47" s="445" t="e">
        <f t="shared" si="7"/>
        <v>#VALUE!</v>
      </c>
      <c r="R47" s="244" t="e">
        <f>(O47*'Tables and Calculations'!C7)</f>
        <v>#VALUE!</v>
      </c>
    </row>
    <row r="48" spans="1:23" ht="21" customHeight="1" thickBot="1">
      <c r="A48" s="499"/>
      <c r="B48" s="223"/>
      <c r="C48" s="443"/>
      <c r="D48" s="443"/>
      <c r="E48" s="443"/>
      <c r="F48" s="443"/>
      <c r="G48" s="443"/>
      <c r="H48" s="443"/>
      <c r="I48" s="443"/>
      <c r="J48" s="443"/>
      <c r="K48" s="443"/>
      <c r="L48" s="443"/>
      <c r="M48" s="443"/>
      <c r="N48" s="443"/>
      <c r="O48" s="445">
        <f t="shared" si="7"/>
        <v>0</v>
      </c>
      <c r="R48" s="244">
        <f>(O48*'Tables and Calculations'!C7)</f>
        <v>0</v>
      </c>
    </row>
    <row r="49" spans="1:23" ht="21" customHeight="1" thickBot="1">
      <c r="A49" s="499"/>
      <c r="B49" s="223"/>
      <c r="C49" s="443"/>
      <c r="D49" s="443"/>
      <c r="E49" s="443"/>
      <c r="F49" s="443"/>
      <c r="G49" s="443"/>
      <c r="H49" s="443"/>
      <c r="I49" s="443"/>
      <c r="J49" s="443"/>
      <c r="K49" s="443"/>
      <c r="L49" s="443"/>
      <c r="M49" s="443"/>
      <c r="N49" s="443"/>
      <c r="O49" s="445">
        <f t="shared" si="7"/>
        <v>0</v>
      </c>
      <c r="R49" s="244">
        <f>(O49*'Tables and Calculations'!C7)</f>
        <v>0</v>
      </c>
    </row>
    <row r="50" spans="1:23" ht="21" customHeight="1" thickBot="1">
      <c r="A50" s="499"/>
      <c r="B50" s="223"/>
      <c r="C50" s="443"/>
      <c r="D50" s="443"/>
      <c r="E50" s="443"/>
      <c r="F50" s="443"/>
      <c r="G50" s="443"/>
      <c r="H50" s="443"/>
      <c r="I50" s="443"/>
      <c r="J50" s="443"/>
      <c r="K50" s="443"/>
      <c r="L50" s="443"/>
      <c r="M50" s="443"/>
      <c r="N50" s="443"/>
      <c r="O50" s="445">
        <f t="shared" si="7"/>
        <v>0</v>
      </c>
      <c r="R50" s="244">
        <f>(O50*'Tables and Calculations'!C7)</f>
        <v>0</v>
      </c>
    </row>
    <row r="51" spans="1:23" ht="21" customHeight="1" thickBot="1">
      <c r="A51" s="499"/>
      <c r="B51" s="223"/>
      <c r="C51" s="443"/>
      <c r="D51" s="443"/>
      <c r="E51" s="443"/>
      <c r="F51" s="443"/>
      <c r="G51" s="443"/>
      <c r="H51" s="443"/>
      <c r="I51" s="443"/>
      <c r="J51" s="443"/>
      <c r="K51" s="443"/>
      <c r="L51" s="443"/>
      <c r="M51" s="443"/>
      <c r="N51" s="443"/>
      <c r="O51" s="445">
        <f t="shared" si="7"/>
        <v>0</v>
      </c>
      <c r="R51" s="244">
        <f>(O51*'Tables and Calculations'!C7)</f>
        <v>0</v>
      </c>
      <c r="T51" s="249"/>
      <c r="U51" s="249"/>
      <c r="V51" s="249"/>
      <c r="W51" s="249"/>
    </row>
    <row r="52" spans="1:23" ht="21" customHeight="1" thickBot="1">
      <c r="A52" s="499"/>
      <c r="B52" s="223"/>
      <c r="C52" s="443"/>
      <c r="D52" s="443"/>
      <c r="E52" s="443"/>
      <c r="F52" s="443"/>
      <c r="G52" s="443"/>
      <c r="H52" s="443"/>
      <c r="I52" s="443"/>
      <c r="J52" s="443"/>
      <c r="K52" s="443"/>
      <c r="L52" s="443"/>
      <c r="M52" s="443"/>
      <c r="N52" s="443"/>
      <c r="O52" s="445">
        <f t="shared" si="7"/>
        <v>0</v>
      </c>
      <c r="R52" s="244">
        <f>(O52*'Tables and Calculations'!C7)</f>
        <v>0</v>
      </c>
      <c r="S52" s="680" t="s">
        <v>283</v>
      </c>
      <c r="T52" s="680" t="s">
        <v>34</v>
      </c>
      <c r="U52" s="680" t="s">
        <v>100</v>
      </c>
      <c r="V52" s="680" t="s">
        <v>284</v>
      </c>
      <c r="W52" s="680" t="s">
        <v>102</v>
      </c>
    </row>
    <row r="53" spans="1:23" ht="30.75" customHeight="1" thickBot="1">
      <c r="A53" s="422" t="s">
        <v>285</v>
      </c>
      <c r="B53" s="250"/>
      <c r="C53" s="422" t="str">
        <f>'Tables and Calculations'!B2</f>
        <v>Jan</v>
      </c>
      <c r="D53" s="422" t="str">
        <f>'Tables and Calculations'!C2</f>
        <v>Feb</v>
      </c>
      <c r="E53" s="422" t="str">
        <f>'Tables and Calculations'!D2</f>
        <v>Mar</v>
      </c>
      <c r="F53" s="422" t="str">
        <f>'Tables and Calculations'!E2</f>
        <v>Apr</v>
      </c>
      <c r="G53" s="422" t="str">
        <f>'Tables and Calculations'!F2</f>
        <v>May</v>
      </c>
      <c r="H53" s="422" t="str">
        <f>'Tables and Calculations'!G2</f>
        <v>Jun</v>
      </c>
      <c r="I53" s="422" t="str">
        <f>'Tables and Calculations'!H2</f>
        <v>Jul</v>
      </c>
      <c r="J53" s="422" t="str">
        <f>'Tables and Calculations'!I2</f>
        <v>Aug</v>
      </c>
      <c r="K53" s="422" t="str">
        <f>'Tables and Calculations'!J2</f>
        <v>Sep</v>
      </c>
      <c r="L53" s="422" t="str">
        <f>'Tables and Calculations'!K2</f>
        <v>Oct</v>
      </c>
      <c r="M53" s="422" t="str">
        <f>'Tables and Calculations'!L2</f>
        <v>Nov</v>
      </c>
      <c r="N53" s="422" t="str">
        <f>'Tables and Calculations'!M2</f>
        <v>Dec</v>
      </c>
      <c r="O53" s="422" t="s">
        <v>60</v>
      </c>
      <c r="P53" s="422" t="s">
        <v>286</v>
      </c>
      <c r="Q53" s="422"/>
      <c r="R53" s="251"/>
      <c r="S53" s="681"/>
      <c r="T53" s="681"/>
      <c r="U53" s="681"/>
      <c r="V53" s="681"/>
      <c r="W53" s="681"/>
    </row>
    <row r="54" spans="1:23" ht="21" customHeight="1" thickBot="1">
      <c r="A54" s="496" t="s">
        <v>287</v>
      </c>
      <c r="B54" s="245"/>
      <c r="C54" s="443">
        <f t="shared" ref="C54:C57" si="8">IF(S54="Monthly",T54,IF(S54="Quarterly",U54,IF(S54="Bi-Annually",V54,IF(S54="Annually",W54))))</f>
        <v>0</v>
      </c>
      <c r="D54" s="443">
        <f t="shared" ref="D54:D57" si="9">IF(S54="Monthly",T54,IF(T54="Quarterly",0,IF(S54="Bi-Annually",0,IF(T54="Annually",0,))))</f>
        <v>0</v>
      </c>
      <c r="E54" s="443">
        <f t="shared" ref="E54:E57" si="10">IF(S54="Monthly",T54,IF(T54="Quarterly",0,IF(S54="Bi-Annually",0,IF(T54="Annually",0,))))</f>
        <v>0</v>
      </c>
      <c r="F54" s="443">
        <f t="shared" ref="F54:F57" si="11">IF(S54="Monthly",T54,IF(S54="Quarterly",U54,IF(S54="Bi-Annually",0,IF(S54="Annually",0))))</f>
        <v>0</v>
      </c>
      <c r="G54" s="443">
        <f t="shared" ref="G54:G57" si="12">IF(S54="Monthly",T54,IF(S54="Quarterly",0,IF(S54="Bi-Annually",0,IF(W54="Annually",0,))))</f>
        <v>0</v>
      </c>
      <c r="H54" s="443">
        <f t="shared" ref="H54:H57" si="13">IF(S54="Monthly",T54,IF(S54="Quarterly",0,IF(S54="Bi-Annually",0,IF(S54="Annually",0,))))</f>
        <v>0</v>
      </c>
      <c r="I54" s="443">
        <f t="shared" ref="I54:I57" si="14">IF(S54="Monthly",T54,IF(S54="Quarterly",T54,IF(S54="Bi-Annually",V54,IF(S54="Annually",0))))</f>
        <v>0</v>
      </c>
      <c r="J54" s="443">
        <f t="shared" ref="J54:J57" si="15">IF(S54="Monthly",T54,IF(S54="Quarterly",0,IF(S54="Bi-Annually",0,IF(S54="Annually",0,))))</f>
        <v>0</v>
      </c>
      <c r="K54" s="443">
        <f t="shared" ref="K54:K57" si="16">IF(S54="Monthly",T54,IF(S54="Quarterly",0,IF(S54="Bi-Annually",0,IF(S54="Annually",0,))))</f>
        <v>0</v>
      </c>
      <c r="L54" s="443">
        <f t="shared" ref="L54:L57" si="17">IF(S54="Monthly",T54,IF(S54="Quarterly",T54,IF(S54="Bi-Annually",0,IF(S54="Annually",0))))</f>
        <v>0</v>
      </c>
      <c r="M54" s="443">
        <f t="shared" ref="M54:M57" si="18">IF(S54="Monthly",T54,IF(S54="Quarterly",0,IF(S54="Bi-Annually",0,IF(S54="Annually",0,))))</f>
        <v>0</v>
      </c>
      <c r="N54" s="443">
        <f t="shared" ref="N54:N57" si="19">IF(S54="Monthly",T54,IF(S54="Quarterly",0,IF(S54="Bi-Annually",0,IF(S54="Annually",0,))))</f>
        <v>0</v>
      </c>
      <c r="O54" s="445">
        <f>SUM(C54:N54)</f>
        <v>0</v>
      </c>
      <c r="P54" s="481">
        <f>'Personal Cash Flow Budget Y1'!V44</f>
        <v>0</v>
      </c>
      <c r="Q54" s="252" t="str">
        <f>IF(P54=0,"There is no business cost for this expense ",IF(P54=(100%-'Personal Cash Flow Budget Y1'!Q44),"% share OK","error in % business allocation"))</f>
        <v xml:space="preserve">There is no business cost for this expense </v>
      </c>
      <c r="R54" s="253">
        <f>(O54*'Tables and Calculations'!C7)</f>
        <v>0</v>
      </c>
      <c r="S54" s="254" t="str">
        <f>'Personal Cash Flow Budget Y1'!P44</f>
        <v>Monthly</v>
      </c>
      <c r="T54" s="255">
        <f>'Personal Cash Flow Budget Y1'!W44</f>
        <v>0</v>
      </c>
      <c r="U54" s="255">
        <f>'Personal Cash Flow Budget Y1'!X44</f>
        <v>0</v>
      </c>
      <c r="V54" s="255">
        <f>'Personal Cash Flow Budget Y1'!Y44</f>
        <v>0</v>
      </c>
      <c r="W54" s="255">
        <f>'Personal Cash Flow Budget Y1'!Y44</f>
        <v>0</v>
      </c>
    </row>
    <row r="55" spans="1:23" ht="21" customHeight="1" thickBot="1">
      <c r="A55" s="496" t="s">
        <v>105</v>
      </c>
      <c r="B55" s="245"/>
      <c r="C55" s="443">
        <f t="shared" si="8"/>
        <v>0</v>
      </c>
      <c r="D55" s="443">
        <f t="shared" si="9"/>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5">
        <f t="shared" ref="O55:O73" si="20">SUM(C55:N55)</f>
        <v>0</v>
      </c>
      <c r="P55" s="481">
        <f>'Personal Cash Flow Budget Y1'!V45</f>
        <v>0</v>
      </c>
      <c r="Q55" s="256" t="str">
        <f>IF(P55=0,"There is no business cost for this expense ",IF(P55=(100%-'Personal Cash Flow Budget Y1'!Q45),"% share OK","error in % business allocation"))</f>
        <v xml:space="preserve">There is no business cost for this expense </v>
      </c>
      <c r="R55" s="253">
        <f>(O55*'Tables and Calculations'!C7)</f>
        <v>0</v>
      </c>
      <c r="S55" s="254" t="str">
        <f>'Personal Cash Flow Budget Y1'!P45</f>
        <v>Monthly</v>
      </c>
      <c r="T55" s="255">
        <f>'Personal Cash Flow Budget Y1'!W45</f>
        <v>0</v>
      </c>
      <c r="U55" s="255">
        <f>'Personal Cash Flow Budget Y1'!X45</f>
        <v>0</v>
      </c>
      <c r="V55" s="255">
        <f>'Personal Cash Flow Budget Y1'!Y45</f>
        <v>0</v>
      </c>
      <c r="W55" s="255">
        <f>'Personal Cash Flow Budget Y1'!Y45</f>
        <v>0</v>
      </c>
    </row>
    <row r="56" spans="1:23" ht="21" customHeight="1" thickBot="1">
      <c r="A56" s="496" t="s">
        <v>106</v>
      </c>
      <c r="B56" s="245"/>
      <c r="C56" s="443">
        <f t="shared" si="8"/>
        <v>0</v>
      </c>
      <c r="D56" s="443">
        <f t="shared" si="9"/>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5">
        <f t="shared" si="20"/>
        <v>0</v>
      </c>
      <c r="P56" s="481">
        <f>'Personal Cash Flow Budget Y1'!V46</f>
        <v>0</v>
      </c>
      <c r="Q56" s="256" t="str">
        <f>IF(P56=0,"There is no business cost for this expense ",IF(P56=(100%-'Personal Cash Flow Budget Y1'!Q46),"% share OK","error in % business allocation"))</f>
        <v xml:space="preserve">There is no business cost for this expense </v>
      </c>
      <c r="R56" s="253">
        <f>(O56*'Tables and Calculations'!C7)</f>
        <v>0</v>
      </c>
      <c r="S56" s="254" t="str">
        <f>'Personal Cash Flow Budget Y1'!P46</f>
        <v>Monthly</v>
      </c>
      <c r="T56" s="255">
        <f>'Personal Cash Flow Budget Y1'!W46</f>
        <v>0</v>
      </c>
      <c r="U56" s="255">
        <f>'Personal Cash Flow Budget Y1'!X46</f>
        <v>0</v>
      </c>
      <c r="V56" s="255">
        <f>'Personal Cash Flow Budget Y1'!Y46</f>
        <v>0</v>
      </c>
      <c r="W56" s="255">
        <f>'Personal Cash Flow Budget Y1'!Y46</f>
        <v>0</v>
      </c>
    </row>
    <row r="57" spans="1:23" ht="21" customHeight="1" thickBot="1">
      <c r="A57" s="496" t="s">
        <v>107</v>
      </c>
      <c r="B57" s="245"/>
      <c r="C57" s="443">
        <f t="shared" si="8"/>
        <v>0</v>
      </c>
      <c r="D57" s="443">
        <f t="shared" si="9"/>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5">
        <f t="shared" si="20"/>
        <v>0</v>
      </c>
      <c r="P57" s="481">
        <f>'Personal Cash Flow Budget Y1'!V47</f>
        <v>0</v>
      </c>
      <c r="Q57" s="256" t="str">
        <f>IF(P57=0,"There is no business cost for this expense ",IF(P57=(100%-'Personal Cash Flow Budget Y1'!Q47),"% share OK","error in % business allocation"))</f>
        <v xml:space="preserve">There is no business cost for this expense </v>
      </c>
      <c r="R57" s="253">
        <f>(O57*'Tables and Calculations'!C7)</f>
        <v>0</v>
      </c>
      <c r="S57" s="254" t="str">
        <f>'Personal Cash Flow Budget Y1'!P47</f>
        <v>Monthly</v>
      </c>
      <c r="T57" s="255">
        <f>'Personal Cash Flow Budget Y1'!W47</f>
        <v>0</v>
      </c>
      <c r="U57" s="255">
        <f>'Personal Cash Flow Budget Y1'!X47</f>
        <v>0</v>
      </c>
      <c r="V57" s="255">
        <f>'Personal Cash Flow Budget Y1'!Y47</f>
        <v>0</v>
      </c>
      <c r="W57" s="255">
        <f>'Personal Cash Flow Budget Y1'!Y47</f>
        <v>0</v>
      </c>
    </row>
    <row r="58" spans="1:23" ht="21" customHeight="1" thickBot="1">
      <c r="A58" s="496" t="s">
        <v>288</v>
      </c>
      <c r="B58" s="245"/>
      <c r="C58" s="443">
        <f>IF(S58="Monthly",T58,IF(S58="Quarterly",U58,IF(S58="Bi-Annually",V58,IF(S58="Annually",W58))))</f>
        <v>0</v>
      </c>
      <c r="D58" s="443">
        <f>IF(S58="Monthly",T58,IF(T58="Quarterly",0,IF(S58="Bi-Annually",0,IF(T58="Annually",0,))))</f>
        <v>0</v>
      </c>
      <c r="E58" s="443">
        <f>IF(S58="Monthly",T58,IF(T58="Quarterly",0,IF(S58="Bi-Annually",0,IF(T58="Annually",0,))))</f>
        <v>0</v>
      </c>
      <c r="F58" s="443">
        <f>IF(S58="Monthly",T58,IF(S58="Quarterly",U58,IF(S58="Bi-Annually",0,IF(S58="Annually",0))))</f>
        <v>0</v>
      </c>
      <c r="G58" s="443">
        <f>IF(S58="Monthly",T58,IF(S58="Quarterly",0,IF(S58="Bi-Annually",0,IF(W58="Annually",0,))))</f>
        <v>0</v>
      </c>
      <c r="H58" s="443">
        <f>IF(S58="Monthly",T58,IF(S58="Quarterly",0,IF(S58="Bi-Annually",0,IF(S58="Annually",0,))))</f>
        <v>0</v>
      </c>
      <c r="I58" s="443">
        <f>IF(S58="Monthly",T58,IF(S58="Quarterly",T58,IF(S58="Bi-Annually",V58,IF(S58="Annually",0))))</f>
        <v>0</v>
      </c>
      <c r="J58" s="443">
        <f>IF(S58="Monthly",T58,IF(S58="Quarterly",0,IF(S58="Bi-Annually",0,IF(S58="Annually",0,))))</f>
        <v>0</v>
      </c>
      <c r="K58" s="443">
        <f>IF(S58="Monthly",T58,IF(S58="Quarterly",0,IF(S58="Bi-Annually",0,IF(S58="Annually",0,))))</f>
        <v>0</v>
      </c>
      <c r="L58" s="443">
        <f>IF(S58="Monthly",T58,IF(S58="Quarterly",T58,IF(S58="Bi-Annually",0,IF(S58="Annually",0))))</f>
        <v>0</v>
      </c>
      <c r="M58" s="443">
        <f>IF(S58="Monthly",T58,IF(S58="Quarterly",0,IF(S58="Bi-Annually",0,IF(S58="Annually",0,))))</f>
        <v>0</v>
      </c>
      <c r="N58" s="443">
        <f>IF(S58="Monthly",T58,IF(S58="Quarterly",0,IF(S58="Bi-Annually",0,IF(S58="Annually",0,))))</f>
        <v>0</v>
      </c>
      <c r="O58" s="445">
        <f t="shared" si="20"/>
        <v>0</v>
      </c>
      <c r="P58" s="481">
        <f>'Personal Cash Flow Budget Y1'!V48</f>
        <v>0</v>
      </c>
      <c r="Q58" s="256" t="str">
        <f>IF(P58=0,"There is no business cost for this expense ",IF(P58=(100%-'Personal Cash Flow Budget Y1'!Q48),"% share OK","error in % business allocation"))</f>
        <v xml:space="preserve">There is no business cost for this expense </v>
      </c>
      <c r="R58" s="253">
        <f>(O58*'Tables and Calculations'!C7)</f>
        <v>0</v>
      </c>
      <c r="S58" s="254" t="str">
        <f>'Personal Cash Flow Budget Y1'!P48</f>
        <v>Monthly</v>
      </c>
      <c r="T58" s="255">
        <f>'Personal Cash Flow Budget Y1'!W48</f>
        <v>0</v>
      </c>
      <c r="U58" s="255">
        <f>'Personal Cash Flow Budget Y1'!X48</f>
        <v>0</v>
      </c>
      <c r="V58" s="255">
        <f>'Personal Cash Flow Budget Y1'!Y48</f>
        <v>0</v>
      </c>
      <c r="W58" s="255">
        <f>'Personal Cash Flow Budget Y1'!Y48</f>
        <v>0</v>
      </c>
    </row>
    <row r="59" spans="1:23" ht="21" customHeight="1" thickBot="1">
      <c r="A59" s="496" t="s">
        <v>109</v>
      </c>
      <c r="B59" s="245"/>
      <c r="C59" s="443">
        <f>IF(S59="Monthly",T59,IF(S59="Quarterly",U59,IF(S59="Bi-Annually",V59,IF(S59="Annually",W59))))</f>
        <v>0</v>
      </c>
      <c r="D59" s="443">
        <f>IF(S59="Monthly",T59,IF(T59="Quarterly",0,IF(S59="Bi-Annually",0,IF(T59="Annually",0,))))</f>
        <v>0</v>
      </c>
      <c r="E59" s="443">
        <f>IF(S59="Monthly",T59,IF(T59="Quarterly",0,IF(S59="Bi-Annually",0,IF(T59="Annually",0,))))</f>
        <v>0</v>
      </c>
      <c r="F59" s="443">
        <f>IF(S59="Monthly",T59,IF(S59="Quarterly",U59,IF(S59="Bi-Annually",0,IF(S59="Annually",0))))</f>
        <v>0</v>
      </c>
      <c r="G59" s="443">
        <f>IF(S59="Monthly",T59,IF(S59="Quarterly",0,IF(S59="Bi-Annually",0,IF(W59="Annually",0,))))</f>
        <v>0</v>
      </c>
      <c r="H59" s="443">
        <f>IF(S59="Monthly",T59,IF(S59="Quarterly",0,IF(S59="Bi-Annually",0,IF(S59="Annually",0,))))</f>
        <v>0</v>
      </c>
      <c r="I59" s="443">
        <f>IF(S59="Monthly",T59,IF(S59="Quarterly",T59,IF(S59="Bi-Annually",V59,IF(S59="Annually",0))))</f>
        <v>0</v>
      </c>
      <c r="J59" s="443">
        <f>IF(S59="Monthly",T59,IF(S59="Quarterly",0,IF(S59="Bi-Annually",0,IF(S59="Annually",0,))))</f>
        <v>0</v>
      </c>
      <c r="K59" s="443">
        <f>IF(S59="Monthly",T59,IF(S59="Quarterly",0,IF(S59="Bi-Annually",0,IF(S59="Annually",0,))))</f>
        <v>0</v>
      </c>
      <c r="L59" s="443">
        <f>IF(S59="Monthly",T59,IF(S59="Quarterly",T59,IF(S59="Bi-Annually",0,IF(S59="Annually",0))))</f>
        <v>0</v>
      </c>
      <c r="M59" s="443">
        <f>IF(S59="Monthly",T59,IF(S59="Quarterly",0,IF(S59="Bi-Annually",0,IF(S59="Annually",0,))))</f>
        <v>0</v>
      </c>
      <c r="N59" s="443">
        <f>IF(S59="Monthly",T59,IF(S59="Quarterly",0,IF(S59="Bi-Annually",0,IF(S59="Annually",0,))))</f>
        <v>0</v>
      </c>
      <c r="O59" s="445">
        <f t="shared" si="20"/>
        <v>0</v>
      </c>
      <c r="P59" s="481">
        <f>'Personal Cash Flow Budget Y1'!V49</f>
        <v>0</v>
      </c>
      <c r="Q59" s="256" t="str">
        <f>IF(P59=0,"There is no business cost for this expense ",IF(P59=(100%-'Personal Cash Flow Budget Y1'!Q49),"% share OK","error in % business allocation"))</f>
        <v xml:space="preserve">There is no business cost for this expense </v>
      </c>
      <c r="R59" s="253">
        <f>(O59*'Tables and Calculations'!C7)</f>
        <v>0</v>
      </c>
      <c r="S59" s="254" t="str">
        <f>'Personal Cash Flow Budget Y1'!P49</f>
        <v>Monthly</v>
      </c>
      <c r="T59" s="255">
        <f>'Personal Cash Flow Budget Y1'!W49</f>
        <v>0</v>
      </c>
      <c r="U59" s="255">
        <f>'Personal Cash Flow Budget Y1'!X49</f>
        <v>0</v>
      </c>
      <c r="V59" s="255">
        <f>'Personal Cash Flow Budget Y1'!Y49</f>
        <v>0</v>
      </c>
      <c r="W59" s="255">
        <f>'Personal Cash Flow Budget Y1'!Y49</f>
        <v>0</v>
      </c>
    </row>
    <row r="60" spans="1:23" ht="21" customHeight="1" thickBot="1">
      <c r="A60" s="496" t="s">
        <v>110</v>
      </c>
      <c r="B60" s="245"/>
      <c r="C60" s="443">
        <f t="shared" ref="C60:C67" si="21">IF(S60="Monthly",T60,IF(S60="Quarterly",U60,IF(S60="Bi-Annually",V60,IF(S60="Annually",W60))))</f>
        <v>0</v>
      </c>
      <c r="D60" s="443">
        <f t="shared" ref="D60:D67" si="22">IF(S60="Monthly",T60,IF(T60="Quarterly",0,IF(S60="Bi-Annually",0,IF(T60="Annually",0,))))</f>
        <v>0</v>
      </c>
      <c r="E60" s="443">
        <f t="shared" ref="E60:E67" si="23">IF(S60="Monthly",T60,IF(T60="Quarterly",0,IF(S60="Bi-Annually",0,IF(T60="Annually",0,))))</f>
        <v>0</v>
      </c>
      <c r="F60" s="443">
        <f t="shared" ref="F60:F67" si="24">IF(S60="Monthly",T60,IF(S60="Quarterly",U60,IF(S60="Bi-Annually",0,IF(S60="Annually",0))))</f>
        <v>0</v>
      </c>
      <c r="G60" s="443">
        <f t="shared" ref="G60:G67" si="25">IF(S60="Monthly",T60,IF(S60="Quarterly",0,IF(S60="Bi-Annually",0,IF(W60="Annually",0,))))</f>
        <v>0</v>
      </c>
      <c r="H60" s="443">
        <f t="shared" ref="H60:H67" si="26">IF(S60="Monthly",T60,IF(S60="Quarterly",0,IF(S60="Bi-Annually",0,IF(S60="Annually",0,))))</f>
        <v>0</v>
      </c>
      <c r="I60" s="443">
        <f t="shared" ref="I60:I67" si="27">IF(S60="Monthly",T60,IF(S60="Quarterly",T60,IF(S60="Bi-Annually",V60,IF(S60="Annually",0))))</f>
        <v>0</v>
      </c>
      <c r="J60" s="443">
        <f t="shared" ref="J60:J67" si="28">IF(S60="Monthly",T60,IF(S60="Quarterly",0,IF(S60="Bi-Annually",0,IF(S60="Annually",0,))))</f>
        <v>0</v>
      </c>
      <c r="K60" s="443">
        <f t="shared" ref="K60:K67" si="29">IF(S60="Monthly",T60,IF(S60="Quarterly",0,IF(S60="Bi-Annually",0,IF(S60="Annually",0,))))</f>
        <v>0</v>
      </c>
      <c r="L60" s="443">
        <f t="shared" ref="L60:L67" si="30">IF(S60="Monthly",T60,IF(S60="Quarterly",T60,IF(S60="Bi-Annually",0,IF(S60="Annually",0))))</f>
        <v>0</v>
      </c>
      <c r="M60" s="443">
        <f t="shared" ref="M60:M67" si="31">IF(S60="Monthly",T60,IF(S60="Quarterly",0,IF(S60="Bi-Annually",0,IF(S60="Annually",0,))))</f>
        <v>0</v>
      </c>
      <c r="N60" s="443">
        <f t="shared" ref="N60:N67" si="32">IF(S60="Monthly",T60,IF(S60="Quarterly",0,IF(S60="Bi-Annually",0,IF(S60="Annually",0,))))</f>
        <v>0</v>
      </c>
      <c r="O60" s="445">
        <f t="shared" si="20"/>
        <v>0</v>
      </c>
      <c r="P60" s="481">
        <f>'Personal Cash Flow Budget Y1'!V50</f>
        <v>0</v>
      </c>
      <c r="Q60" s="256" t="str">
        <f>IF(P60=0,"There is no business cost for this expense ",IF(P60=(100%-'Personal Cash Flow Budget Y1'!Q50),"% share OK","error in % business allocation"))</f>
        <v xml:space="preserve">There is no business cost for this expense </v>
      </c>
      <c r="R60" s="253">
        <f>(O60*'Tables and Calculations'!C7)</f>
        <v>0</v>
      </c>
      <c r="S60" s="254" t="str">
        <f>'Personal Cash Flow Budget Y1'!P50</f>
        <v>Monthly</v>
      </c>
      <c r="T60" s="255">
        <f>'Personal Cash Flow Budget Y1'!W50</f>
        <v>0</v>
      </c>
      <c r="U60" s="255">
        <f>'Personal Cash Flow Budget Y1'!X50</f>
        <v>0</v>
      </c>
      <c r="V60" s="255">
        <f>'Personal Cash Flow Budget Y1'!Y50</f>
        <v>0</v>
      </c>
      <c r="W60" s="255">
        <f>'Personal Cash Flow Budget Y1'!Y50</f>
        <v>0</v>
      </c>
    </row>
    <row r="61" spans="1:23" ht="21" customHeight="1" thickBot="1">
      <c r="A61" s="496" t="s">
        <v>289</v>
      </c>
      <c r="B61" s="245"/>
      <c r="C61" s="443">
        <f t="shared" si="21"/>
        <v>0</v>
      </c>
      <c r="D61" s="443">
        <f t="shared" si="22"/>
        <v>0</v>
      </c>
      <c r="E61" s="443">
        <f t="shared" si="23"/>
        <v>0</v>
      </c>
      <c r="F61" s="443">
        <f t="shared" si="24"/>
        <v>0</v>
      </c>
      <c r="G61" s="443">
        <f t="shared" si="25"/>
        <v>0</v>
      </c>
      <c r="H61" s="443">
        <f t="shared" si="26"/>
        <v>0</v>
      </c>
      <c r="I61" s="443">
        <f t="shared" si="27"/>
        <v>0</v>
      </c>
      <c r="J61" s="443">
        <f t="shared" si="28"/>
        <v>0</v>
      </c>
      <c r="K61" s="443">
        <f t="shared" si="29"/>
        <v>0</v>
      </c>
      <c r="L61" s="443">
        <f t="shared" si="30"/>
        <v>0</v>
      </c>
      <c r="M61" s="443">
        <f t="shared" si="31"/>
        <v>0</v>
      </c>
      <c r="N61" s="443">
        <f t="shared" si="32"/>
        <v>0</v>
      </c>
      <c r="O61" s="445">
        <f t="shared" si="20"/>
        <v>0</v>
      </c>
      <c r="P61" s="481">
        <f>'Personal Cash Flow Budget Y1'!V51</f>
        <v>0</v>
      </c>
      <c r="Q61" s="256" t="str">
        <f>IF(P61=0,"There is no business cost for this expense ",IF(P61=(100%-'Personal Cash Flow Budget Y1'!Q51),"% share OK","error in % business allocation"))</f>
        <v xml:space="preserve">There is no business cost for this expense </v>
      </c>
      <c r="R61" s="253">
        <f>(O61*'Tables and Calculations'!C7)</f>
        <v>0</v>
      </c>
      <c r="S61" s="254" t="str">
        <f>'Personal Cash Flow Budget Y1'!P51</f>
        <v>Monthly</v>
      </c>
      <c r="T61" s="255">
        <f>'Personal Cash Flow Budget Y1'!W51</f>
        <v>0</v>
      </c>
      <c r="U61" s="255">
        <f>'Personal Cash Flow Budget Y1'!X51</f>
        <v>0</v>
      </c>
      <c r="V61" s="255">
        <f>'Personal Cash Flow Budget Y1'!Y51</f>
        <v>0</v>
      </c>
      <c r="W61" s="255">
        <f>'Personal Cash Flow Budget Y1'!Y51</f>
        <v>0</v>
      </c>
    </row>
    <row r="62" spans="1:23" ht="21" customHeight="1" thickBot="1">
      <c r="A62" s="496" t="s">
        <v>112</v>
      </c>
      <c r="B62" s="245"/>
      <c r="C62" s="443">
        <f t="shared" si="21"/>
        <v>0</v>
      </c>
      <c r="D62" s="443">
        <f t="shared" si="22"/>
        <v>0</v>
      </c>
      <c r="E62" s="443">
        <f t="shared" si="23"/>
        <v>0</v>
      </c>
      <c r="F62" s="443">
        <f t="shared" si="24"/>
        <v>0</v>
      </c>
      <c r="G62" s="443">
        <f t="shared" si="25"/>
        <v>0</v>
      </c>
      <c r="H62" s="443">
        <f t="shared" si="26"/>
        <v>0</v>
      </c>
      <c r="I62" s="443">
        <f t="shared" si="27"/>
        <v>0</v>
      </c>
      <c r="J62" s="443">
        <f t="shared" si="28"/>
        <v>0</v>
      </c>
      <c r="K62" s="443">
        <f t="shared" si="29"/>
        <v>0</v>
      </c>
      <c r="L62" s="443">
        <f t="shared" si="30"/>
        <v>0</v>
      </c>
      <c r="M62" s="443">
        <f t="shared" si="31"/>
        <v>0</v>
      </c>
      <c r="N62" s="443">
        <f t="shared" si="32"/>
        <v>0</v>
      </c>
      <c r="O62" s="445">
        <f t="shared" si="20"/>
        <v>0</v>
      </c>
      <c r="P62" s="481">
        <f>'Personal Cash Flow Budget Y1'!V52</f>
        <v>0</v>
      </c>
      <c r="Q62" s="256" t="str">
        <f>IF(P62=0,"There is no business cost for this expense ",IF(P62=(100%-'Personal Cash Flow Budget Y1'!Q52),"% share OK","error in % business allocation"))</f>
        <v xml:space="preserve">There is no business cost for this expense </v>
      </c>
      <c r="R62" s="253">
        <f>(O62*'Tables and Calculations'!C7)</f>
        <v>0</v>
      </c>
      <c r="S62" s="254" t="str">
        <f>'Personal Cash Flow Budget Y1'!P52</f>
        <v>Monthly</v>
      </c>
      <c r="T62" s="255">
        <f>'Personal Cash Flow Budget Y1'!W52</f>
        <v>0</v>
      </c>
      <c r="U62" s="255">
        <f>'Personal Cash Flow Budget Y1'!X52</f>
        <v>0</v>
      </c>
      <c r="V62" s="255">
        <f>'Personal Cash Flow Budget Y1'!Y52</f>
        <v>0</v>
      </c>
      <c r="W62" s="255">
        <f>'Personal Cash Flow Budget Y1'!Y52</f>
        <v>0</v>
      </c>
    </row>
    <row r="63" spans="1:23" ht="21" customHeight="1" thickBot="1">
      <c r="A63" s="496" t="s">
        <v>290</v>
      </c>
      <c r="B63" s="245"/>
      <c r="C63" s="443">
        <f t="shared" si="21"/>
        <v>0</v>
      </c>
      <c r="D63" s="443">
        <f t="shared" si="22"/>
        <v>0</v>
      </c>
      <c r="E63" s="443">
        <f t="shared" si="23"/>
        <v>0</v>
      </c>
      <c r="F63" s="443">
        <f t="shared" si="24"/>
        <v>0</v>
      </c>
      <c r="G63" s="443">
        <f t="shared" si="25"/>
        <v>0</v>
      </c>
      <c r="H63" s="443">
        <f t="shared" si="26"/>
        <v>0</v>
      </c>
      <c r="I63" s="443">
        <f t="shared" si="27"/>
        <v>0</v>
      </c>
      <c r="J63" s="443">
        <f t="shared" si="28"/>
        <v>0</v>
      </c>
      <c r="K63" s="443">
        <f t="shared" si="29"/>
        <v>0</v>
      </c>
      <c r="L63" s="443">
        <f t="shared" si="30"/>
        <v>0</v>
      </c>
      <c r="M63" s="443">
        <f t="shared" si="31"/>
        <v>0</v>
      </c>
      <c r="N63" s="443">
        <f t="shared" si="32"/>
        <v>0</v>
      </c>
      <c r="O63" s="445">
        <f t="shared" si="20"/>
        <v>0</v>
      </c>
      <c r="P63" s="481">
        <f>'Personal Cash Flow Budget Y1'!V53</f>
        <v>0</v>
      </c>
      <c r="Q63" s="256" t="str">
        <f>IF(P63=0,"There is no business cost for this expense ",IF(P63=(100%-'Personal Cash Flow Budget Y1'!Q53),"% share OK","error in % business allocation"))</f>
        <v xml:space="preserve">There is no business cost for this expense </v>
      </c>
      <c r="R63" s="253">
        <f>(O63*'Tables and Calculations'!C7)</f>
        <v>0</v>
      </c>
      <c r="S63" s="254" t="str">
        <f>'Personal Cash Flow Budget Y1'!P53</f>
        <v>Monthly</v>
      </c>
      <c r="T63" s="255">
        <f>'Personal Cash Flow Budget Y1'!W53</f>
        <v>0</v>
      </c>
      <c r="U63" s="255">
        <f>'Personal Cash Flow Budget Y1'!X53</f>
        <v>0</v>
      </c>
      <c r="V63" s="255">
        <f>'Personal Cash Flow Budget Y1'!Y53</f>
        <v>0</v>
      </c>
      <c r="W63" s="255">
        <f>'Personal Cash Flow Budget Y1'!Y53</f>
        <v>0</v>
      </c>
    </row>
    <row r="64" spans="1:23" ht="21" customHeight="1" thickBot="1">
      <c r="A64" s="496" t="s">
        <v>114</v>
      </c>
      <c r="B64" s="245"/>
      <c r="C64" s="443">
        <f t="shared" si="21"/>
        <v>0</v>
      </c>
      <c r="D64" s="443">
        <f t="shared" si="22"/>
        <v>0</v>
      </c>
      <c r="E64" s="443">
        <f t="shared" si="23"/>
        <v>0</v>
      </c>
      <c r="F64" s="443">
        <f t="shared" si="24"/>
        <v>0</v>
      </c>
      <c r="G64" s="443">
        <f t="shared" si="25"/>
        <v>0</v>
      </c>
      <c r="H64" s="443">
        <f t="shared" si="26"/>
        <v>0</v>
      </c>
      <c r="I64" s="443">
        <f t="shared" si="27"/>
        <v>0</v>
      </c>
      <c r="J64" s="443">
        <f t="shared" si="28"/>
        <v>0</v>
      </c>
      <c r="K64" s="443">
        <f t="shared" si="29"/>
        <v>0</v>
      </c>
      <c r="L64" s="443">
        <f t="shared" si="30"/>
        <v>0</v>
      </c>
      <c r="M64" s="443">
        <f t="shared" si="31"/>
        <v>0</v>
      </c>
      <c r="N64" s="443">
        <f t="shared" si="32"/>
        <v>0</v>
      </c>
      <c r="O64" s="445">
        <f t="shared" si="20"/>
        <v>0</v>
      </c>
      <c r="P64" s="481">
        <f>'Personal Cash Flow Budget Y1'!V54</f>
        <v>0</v>
      </c>
      <c r="Q64" s="256" t="str">
        <f>IF(P64=0,"There is no business cost for this expense ",IF(P64=(100%-'Personal Cash Flow Budget Y1'!Q54),"% share OK","error in % business allocation"))</f>
        <v xml:space="preserve">There is no business cost for this expense </v>
      </c>
      <c r="R64" s="253">
        <f>(O64*'Tables and Calculations'!C7)</f>
        <v>0</v>
      </c>
      <c r="S64" s="254" t="str">
        <f>'Personal Cash Flow Budget Y1'!P54</f>
        <v>Monthly</v>
      </c>
      <c r="T64" s="255">
        <f>'Personal Cash Flow Budget Y1'!W54</f>
        <v>0</v>
      </c>
      <c r="U64" s="255">
        <f>'Personal Cash Flow Budget Y1'!X54</f>
        <v>0</v>
      </c>
      <c r="V64" s="255">
        <f>'Personal Cash Flow Budget Y1'!Y54</f>
        <v>0</v>
      </c>
      <c r="W64" s="255">
        <f>'Personal Cash Flow Budget Y1'!Y54</f>
        <v>0</v>
      </c>
    </row>
    <row r="65" spans="1:23" ht="21" customHeight="1" thickBot="1">
      <c r="A65" s="496">
        <f>'Personal Cash Flow Budget Y1'!A55</f>
        <v>0</v>
      </c>
      <c r="B65" s="245"/>
      <c r="C65" s="443">
        <f t="shared" si="21"/>
        <v>0</v>
      </c>
      <c r="D65" s="443">
        <f t="shared" si="22"/>
        <v>0</v>
      </c>
      <c r="E65" s="443">
        <f t="shared" si="23"/>
        <v>0</v>
      </c>
      <c r="F65" s="443">
        <f t="shared" si="24"/>
        <v>0</v>
      </c>
      <c r="G65" s="443">
        <f t="shared" si="25"/>
        <v>0</v>
      </c>
      <c r="H65" s="443">
        <f t="shared" si="26"/>
        <v>0</v>
      </c>
      <c r="I65" s="443">
        <f t="shared" si="27"/>
        <v>0</v>
      </c>
      <c r="J65" s="443">
        <f t="shared" si="28"/>
        <v>0</v>
      </c>
      <c r="K65" s="443">
        <f t="shared" si="29"/>
        <v>0</v>
      </c>
      <c r="L65" s="443">
        <f t="shared" si="30"/>
        <v>0</v>
      </c>
      <c r="M65" s="443">
        <f t="shared" si="31"/>
        <v>0</v>
      </c>
      <c r="N65" s="443">
        <f t="shared" si="32"/>
        <v>0</v>
      </c>
      <c r="O65" s="445">
        <f t="shared" si="20"/>
        <v>0</v>
      </c>
      <c r="P65" s="481">
        <f>'Personal Cash Flow Budget Y1'!V55</f>
        <v>0</v>
      </c>
      <c r="Q65" s="256" t="str">
        <f>IF(P65=0,"There is no business cost for this expense ",IF(P65=(100%-'Personal Cash Flow Budget Y1'!Q55),"% share OK","error in % business allocation"))</f>
        <v xml:space="preserve">There is no business cost for this expense </v>
      </c>
      <c r="R65" s="253">
        <f>(O65*'Tables and Calculations'!C7)</f>
        <v>0</v>
      </c>
      <c r="S65" s="254" t="str">
        <f>'Personal Cash Flow Budget Y1'!P55</f>
        <v>Monthly</v>
      </c>
      <c r="T65" s="255">
        <f>'Personal Cash Flow Budget Y1'!W55</f>
        <v>0</v>
      </c>
      <c r="U65" s="255">
        <f>'Personal Cash Flow Budget Y1'!X55</f>
        <v>0</v>
      </c>
      <c r="V65" s="255">
        <f>'Personal Cash Flow Budget Y1'!Y55</f>
        <v>0</v>
      </c>
      <c r="W65" s="255">
        <f>'Personal Cash Flow Budget Y1'!Y55</f>
        <v>0</v>
      </c>
    </row>
    <row r="66" spans="1:23" ht="21" customHeight="1" thickBot="1">
      <c r="A66" s="496" t="str">
        <f>'Personal Cash Flow Budget Y1'!A56</f>
        <v>Total Cash Payments</v>
      </c>
      <c r="B66" s="245"/>
      <c r="C66" s="443" t="b">
        <f t="shared" si="21"/>
        <v>0</v>
      </c>
      <c r="D66" s="443">
        <f t="shared" si="22"/>
        <v>0</v>
      </c>
      <c r="E66" s="443">
        <f t="shared" si="23"/>
        <v>0</v>
      </c>
      <c r="F66" s="443" t="b">
        <f t="shared" si="24"/>
        <v>0</v>
      </c>
      <c r="G66" s="443">
        <f t="shared" si="25"/>
        <v>0</v>
      </c>
      <c r="H66" s="443">
        <f t="shared" si="26"/>
        <v>0</v>
      </c>
      <c r="I66" s="443" t="b">
        <f t="shared" si="27"/>
        <v>0</v>
      </c>
      <c r="J66" s="443">
        <f t="shared" si="28"/>
        <v>0</v>
      </c>
      <c r="K66" s="443">
        <f t="shared" si="29"/>
        <v>0</v>
      </c>
      <c r="L66" s="443" t="b">
        <f t="shared" si="30"/>
        <v>0</v>
      </c>
      <c r="M66" s="443">
        <f t="shared" si="31"/>
        <v>0</v>
      </c>
      <c r="N66" s="443">
        <f t="shared" si="32"/>
        <v>0</v>
      </c>
      <c r="O66" s="445">
        <f t="shared" si="20"/>
        <v>0</v>
      </c>
      <c r="P66" s="481">
        <f>'Personal Cash Flow Budget Y1'!V56</f>
        <v>0</v>
      </c>
      <c r="Q66" s="256" t="str">
        <f>IF(P66=0,"There is no business cost for this expense ",IF(P66=(100%-'Personal Cash Flow Budget Y1'!Q56),"% share OK","error in % business allocation"))</f>
        <v xml:space="preserve">There is no business cost for this expense </v>
      </c>
      <c r="R66" s="253">
        <f>(O66*'Tables and Calculations'!C7)</f>
        <v>0</v>
      </c>
      <c r="S66" s="254">
        <f>'Personal Cash Flow Budget Y1'!P56</f>
        <v>0</v>
      </c>
      <c r="T66" s="255">
        <f>'Personal Cash Flow Budget Y1'!W56</f>
        <v>0</v>
      </c>
      <c r="U66" s="255">
        <f>'Personal Cash Flow Budget Y1'!X56</f>
        <v>0</v>
      </c>
      <c r="V66" s="255">
        <f>'Personal Cash Flow Budget Y1'!Y56</f>
        <v>0</v>
      </c>
      <c r="W66" s="255">
        <f>'Personal Cash Flow Budget Y1'!Y56</f>
        <v>0</v>
      </c>
    </row>
    <row r="67" spans="1:23" ht="21" customHeight="1" thickBot="1">
      <c r="A67" s="496">
        <f>'Personal Cash Flow Budget Y1'!A57</f>
        <v>0</v>
      </c>
      <c r="B67" s="245"/>
      <c r="C67" s="443" t="b">
        <f t="shared" si="21"/>
        <v>0</v>
      </c>
      <c r="D67" s="443">
        <f t="shared" si="22"/>
        <v>0</v>
      </c>
      <c r="E67" s="443">
        <f t="shared" si="23"/>
        <v>0</v>
      </c>
      <c r="F67" s="443" t="b">
        <f t="shared" si="24"/>
        <v>0</v>
      </c>
      <c r="G67" s="443">
        <f t="shared" si="25"/>
        <v>0</v>
      </c>
      <c r="H67" s="443">
        <f t="shared" si="26"/>
        <v>0</v>
      </c>
      <c r="I67" s="443" t="b">
        <f t="shared" si="27"/>
        <v>0</v>
      </c>
      <c r="J67" s="443">
        <f t="shared" si="28"/>
        <v>0</v>
      </c>
      <c r="K67" s="443">
        <f t="shared" si="29"/>
        <v>0</v>
      </c>
      <c r="L67" s="443" t="b">
        <f t="shared" si="30"/>
        <v>0</v>
      </c>
      <c r="M67" s="443">
        <f t="shared" si="31"/>
        <v>0</v>
      </c>
      <c r="N67" s="443">
        <f t="shared" si="32"/>
        <v>0</v>
      </c>
      <c r="O67" s="445">
        <f t="shared" si="20"/>
        <v>0</v>
      </c>
      <c r="P67" s="481">
        <f>'Personal Cash Flow Budget Y1'!V57</f>
        <v>0</v>
      </c>
      <c r="Q67" s="257" t="str">
        <f>IF(P67=0,"There is no business cost for this expense ",IF(P67=(100%-'Personal Cash Flow Budget Y1'!Q57),"% share OK","error in % business allocation"))</f>
        <v xml:space="preserve">There is no business cost for this expense </v>
      </c>
      <c r="R67" s="253">
        <f>(O67*'Tables and Calculations'!C7)</f>
        <v>0</v>
      </c>
      <c r="S67" s="254">
        <f>'Personal Cash Flow Budget Y1'!P57</f>
        <v>0</v>
      </c>
      <c r="T67" s="255">
        <f>'Personal Cash Flow Budget Y1'!W57</f>
        <v>0</v>
      </c>
      <c r="U67" s="255">
        <f>'Personal Cash Flow Budget Y1'!X57</f>
        <v>0</v>
      </c>
      <c r="V67" s="255">
        <f>'Personal Cash Flow Budget Y1'!Y57</f>
        <v>0</v>
      </c>
      <c r="W67" s="255">
        <f>'Personal Cash Flow Budget Y1'!Y57</f>
        <v>0</v>
      </c>
    </row>
    <row r="68" spans="1:23" ht="21" customHeight="1" thickBot="1">
      <c r="A68" s="496" t="s">
        <v>291</v>
      </c>
      <c r="B68" s="502" t="s">
        <v>259</v>
      </c>
      <c r="C68" s="443"/>
      <c r="D68" s="443"/>
      <c r="E68" s="443"/>
      <c r="F68" s="443"/>
      <c r="G68" s="443"/>
      <c r="H68" s="443"/>
      <c r="I68" s="443"/>
      <c r="J68" s="443"/>
      <c r="K68" s="443"/>
      <c r="L68" s="443"/>
      <c r="M68" s="443"/>
      <c r="N68" s="443"/>
      <c r="O68" s="445">
        <f t="shared" si="20"/>
        <v>0</v>
      </c>
      <c r="P68" s="258"/>
      <c r="R68" s="235"/>
    </row>
    <row r="69" spans="1:23" ht="21" customHeight="1" thickBot="1">
      <c r="A69" s="496" t="s">
        <v>292</v>
      </c>
      <c r="B69" s="502" t="s">
        <v>259</v>
      </c>
      <c r="C69" s="443"/>
      <c r="D69" s="443"/>
      <c r="E69" s="443"/>
      <c r="F69" s="443"/>
      <c r="G69" s="443"/>
      <c r="H69" s="443"/>
      <c r="I69" s="443"/>
      <c r="J69" s="443"/>
      <c r="K69" s="443"/>
      <c r="L69" s="443"/>
      <c r="M69" s="443"/>
      <c r="N69" s="443"/>
      <c r="O69" s="445">
        <f t="shared" si="20"/>
        <v>0</v>
      </c>
      <c r="R69" s="235"/>
    </row>
    <row r="70" spans="1:23" ht="21" customHeight="1" thickBot="1">
      <c r="A70" s="496" t="s">
        <v>293</v>
      </c>
      <c r="B70" s="502" t="s">
        <v>259</v>
      </c>
      <c r="C70" s="443"/>
      <c r="D70" s="443"/>
      <c r="E70" s="443"/>
      <c r="F70" s="443"/>
      <c r="G70" s="443"/>
      <c r="H70" s="443"/>
      <c r="I70" s="443"/>
      <c r="J70" s="443"/>
      <c r="K70" s="443"/>
      <c r="L70" s="443"/>
      <c r="M70" s="443"/>
      <c r="N70" s="443"/>
      <c r="O70" s="445">
        <f t="shared" si="20"/>
        <v>0</v>
      </c>
      <c r="R70" s="235"/>
    </row>
    <row r="71" spans="1:23" ht="21" customHeight="1" thickBot="1">
      <c r="A71" s="496" t="s">
        <v>294</v>
      </c>
      <c r="B71" s="501">
        <v>0.105</v>
      </c>
      <c r="C71" s="443">
        <f>IF($B$71&gt;0,ROUND($B$71*(C69+C70),0)," ")</f>
        <v>0</v>
      </c>
      <c r="D71" s="443">
        <f t="shared" ref="D71:N71" si="33">IF($B$71&gt;0,ROUND($B$71*(D69+D70),0)," ")</f>
        <v>0</v>
      </c>
      <c r="E71" s="443">
        <f t="shared" si="33"/>
        <v>0</v>
      </c>
      <c r="F71" s="443">
        <f t="shared" si="33"/>
        <v>0</v>
      </c>
      <c r="G71" s="443">
        <f t="shared" si="33"/>
        <v>0</v>
      </c>
      <c r="H71" s="443">
        <f t="shared" si="33"/>
        <v>0</v>
      </c>
      <c r="I71" s="443">
        <f t="shared" si="33"/>
        <v>0</v>
      </c>
      <c r="J71" s="443">
        <f t="shared" si="33"/>
        <v>0</v>
      </c>
      <c r="K71" s="443">
        <f t="shared" si="33"/>
        <v>0</v>
      </c>
      <c r="L71" s="443">
        <f t="shared" si="33"/>
        <v>0</v>
      </c>
      <c r="M71" s="443">
        <f t="shared" si="33"/>
        <v>0</v>
      </c>
      <c r="N71" s="443">
        <f t="shared" si="33"/>
        <v>0</v>
      </c>
      <c r="O71" s="445">
        <f t="shared" si="20"/>
        <v>0</v>
      </c>
      <c r="R71" s="235"/>
    </row>
    <row r="72" spans="1:23" ht="21" customHeight="1" thickBot="1">
      <c r="A72" s="496"/>
      <c r="B72" s="502" t="s">
        <v>259</v>
      </c>
      <c r="C72" s="443"/>
      <c r="D72" s="443"/>
      <c r="E72" s="443"/>
      <c r="F72" s="443"/>
      <c r="G72" s="443"/>
      <c r="H72" s="443"/>
      <c r="I72" s="443"/>
      <c r="J72" s="443"/>
      <c r="K72" s="443"/>
      <c r="L72" s="443"/>
      <c r="M72" s="443"/>
      <c r="N72" s="443"/>
      <c r="O72" s="445">
        <f t="shared" si="20"/>
        <v>0</v>
      </c>
      <c r="R72" s="235"/>
    </row>
    <row r="73" spans="1:23" ht="21" customHeight="1" thickBot="1">
      <c r="A73" s="496"/>
      <c r="B73" s="502" t="s">
        <v>259</v>
      </c>
      <c r="C73" s="443"/>
      <c r="D73" s="443"/>
      <c r="E73" s="443"/>
      <c r="F73" s="443"/>
      <c r="G73" s="443"/>
      <c r="H73" s="443"/>
      <c r="I73" s="443"/>
      <c r="J73" s="443"/>
      <c r="K73" s="443"/>
      <c r="L73" s="443"/>
      <c r="M73" s="443"/>
      <c r="N73" s="443"/>
      <c r="O73" s="445">
        <f t="shared" si="20"/>
        <v>0</v>
      </c>
      <c r="R73" s="235"/>
      <c r="S73" s="39"/>
    </row>
    <row r="74" spans="1:23" ht="21" customHeight="1" thickBot="1">
      <c r="A74" s="674" t="s">
        <v>295</v>
      </c>
      <c r="B74" s="674"/>
      <c r="C74" s="445" t="e">
        <f>SUM(C27:C73)</f>
        <v>#VALUE!</v>
      </c>
      <c r="D74" s="445" t="e">
        <f t="shared" ref="D74:O74" si="34">SUM(D27:D73)</f>
        <v>#VALUE!</v>
      </c>
      <c r="E74" s="445" t="e">
        <f t="shared" si="34"/>
        <v>#VALUE!</v>
      </c>
      <c r="F74" s="445" t="e">
        <f t="shared" si="34"/>
        <v>#VALUE!</v>
      </c>
      <c r="G74" s="445" t="e">
        <f t="shared" si="34"/>
        <v>#VALUE!</v>
      </c>
      <c r="H74" s="445" t="e">
        <f t="shared" si="34"/>
        <v>#VALUE!</v>
      </c>
      <c r="I74" s="445" t="e">
        <f t="shared" si="34"/>
        <v>#VALUE!</v>
      </c>
      <c r="J74" s="445" t="e">
        <f t="shared" si="34"/>
        <v>#VALUE!</v>
      </c>
      <c r="K74" s="445" t="e">
        <f t="shared" si="34"/>
        <v>#VALUE!</v>
      </c>
      <c r="L74" s="445" t="e">
        <f t="shared" si="34"/>
        <v>#VALUE!</v>
      </c>
      <c r="M74" s="445" t="e">
        <f t="shared" si="34"/>
        <v>#VALUE!</v>
      </c>
      <c r="N74" s="445" t="e">
        <f t="shared" si="34"/>
        <v>#VALUE!</v>
      </c>
      <c r="O74" s="445" t="e">
        <f t="shared" si="34"/>
        <v>#VALUE!</v>
      </c>
      <c r="R74" s="235"/>
    </row>
    <row r="75" spans="1:23" ht="21" customHeight="1" thickBot="1">
      <c r="A75" s="678" t="s">
        <v>296</v>
      </c>
      <c r="B75" s="678"/>
      <c r="C75" s="678"/>
      <c r="D75" s="678"/>
      <c r="E75" s="678"/>
      <c r="F75" s="678"/>
      <c r="G75" s="678"/>
      <c r="H75" s="678"/>
      <c r="I75" s="678"/>
      <c r="J75" s="678"/>
      <c r="K75" s="678"/>
      <c r="L75" s="678"/>
      <c r="M75" s="678"/>
      <c r="N75" s="678"/>
      <c r="O75" s="678"/>
      <c r="P75" s="259" t="s">
        <v>297</v>
      </c>
      <c r="R75" s="235"/>
    </row>
    <row r="76" spans="1:23" ht="21" customHeight="1" thickBot="1">
      <c r="A76" s="444" t="s">
        <v>298</v>
      </c>
      <c r="B76" s="502" t="s">
        <v>259</v>
      </c>
      <c r="C76" s="260">
        <f>IF('Business Loans'!$A$18&lt;=C97,'Business Loans'!$H$14,0)</f>
        <v>0</v>
      </c>
      <c r="D76" s="260">
        <f>IF('Business Loans'!$A$18&lt;=D97,'Business Loans'!$H$14,0)</f>
        <v>0</v>
      </c>
      <c r="E76" s="260">
        <f>IF('Business Loans'!$A$18&lt;=E97,'Business Loans'!$H$14,0)</f>
        <v>0</v>
      </c>
      <c r="F76" s="260">
        <f>IF('Business Loans'!$A$18&lt;=F97,'Business Loans'!$H$14,0)</f>
        <v>0</v>
      </c>
      <c r="G76" s="260">
        <f>IF('Business Loans'!$A$18&lt;=G97,'Business Loans'!$H$14,0)</f>
        <v>0</v>
      </c>
      <c r="H76" s="260">
        <f>IF('Business Loans'!$A$18&lt;=H97,'Business Loans'!$H$14,0)</f>
        <v>0</v>
      </c>
      <c r="I76" s="260">
        <f>IF('Business Loans'!$A$18&lt;=I97,'Business Loans'!$H$14,0)</f>
        <v>0</v>
      </c>
      <c r="J76" s="260">
        <f>IF('Business Loans'!$A$18&lt;=J97,'Business Loans'!$H$14,0)</f>
        <v>0</v>
      </c>
      <c r="K76" s="260">
        <f>IF('Business Loans'!$A$18&lt;=K97,'Business Loans'!$H$14,0)</f>
        <v>0</v>
      </c>
      <c r="L76" s="260">
        <f>IF('Business Loans'!$A$18&lt;=L97,'Business Loans'!$H$14,0)</f>
        <v>0</v>
      </c>
      <c r="M76" s="260">
        <f>IF('Business Loans'!$A$18&lt;=M97,'Business Loans'!$H$14,0)</f>
        <v>0</v>
      </c>
      <c r="N76" s="260">
        <f>IF('Business Loans'!$A$18&lt;=N97,'Business Loans'!$H$14,0)</f>
        <v>0</v>
      </c>
      <c r="O76" s="445">
        <f>SUM(C76:N76)</f>
        <v>0</v>
      </c>
      <c r="P76" s="261">
        <f>SUM(O76-'Business Loans'!H15)</f>
        <v>0</v>
      </c>
      <c r="R76" s="235"/>
    </row>
    <row r="77" spans="1:23" ht="21" customHeight="1" thickBot="1">
      <c r="A77" s="444" t="s">
        <v>299</v>
      </c>
      <c r="B77" s="502" t="s">
        <v>259</v>
      </c>
      <c r="C77" s="260">
        <f>IF('Business Loans'!$A$36&lt;=C97,'Business Loans'!$H$31,0)</f>
        <v>0</v>
      </c>
      <c r="D77" s="260">
        <f>IF('Business Loans'!$A$36&lt;=D97,'Business Loans'!$H$31,0)</f>
        <v>0</v>
      </c>
      <c r="E77" s="260">
        <f>IF('Business Loans'!$A$36&lt;=E97,'Business Loans'!$H$31,0)</f>
        <v>0</v>
      </c>
      <c r="F77" s="260">
        <f>IF('Business Loans'!$A$36&lt;=F97,'Business Loans'!$H$31,0)</f>
        <v>0</v>
      </c>
      <c r="G77" s="260">
        <f>IF('Business Loans'!$A$36&lt;=G97,'Business Loans'!$H$31,0)</f>
        <v>0</v>
      </c>
      <c r="H77" s="260">
        <f>IF('Business Loans'!$A$36&lt;=H97,'Business Loans'!$H$31,0)</f>
        <v>0</v>
      </c>
      <c r="I77" s="260">
        <f>IF('Business Loans'!$A$36&lt;=I97,'Business Loans'!$H$31,0)</f>
        <v>0</v>
      </c>
      <c r="J77" s="260">
        <f>IF('Business Loans'!$A$36&lt;=J97,'Business Loans'!$H$31,0)</f>
        <v>0</v>
      </c>
      <c r="K77" s="260">
        <f>IF('Business Loans'!$A$36&lt;=K97,'Business Loans'!$H$31,0)</f>
        <v>0</v>
      </c>
      <c r="L77" s="260">
        <f>IF('Business Loans'!$A$36&lt;=L97,'Business Loans'!$H$31,0)</f>
        <v>0</v>
      </c>
      <c r="M77" s="260">
        <f>IF('Business Loans'!$A$36&lt;=M97,'Business Loans'!$H$31,0)</f>
        <v>0</v>
      </c>
      <c r="N77" s="260">
        <f>IF('Business Loans'!$A$36&lt;=N97,'Business Loans'!$H$31,0)</f>
        <v>0</v>
      </c>
      <c r="O77" s="445">
        <f t="shared" ref="O77:O79" si="35">SUM(C77:N77)</f>
        <v>0</v>
      </c>
      <c r="P77" s="262">
        <f>SUM(O77-'Business Loans'!H32)</f>
        <v>0</v>
      </c>
      <c r="R77" s="235"/>
    </row>
    <row r="78" spans="1:23" ht="21" customHeight="1" thickBot="1">
      <c r="A78" s="444" t="s">
        <v>300</v>
      </c>
      <c r="B78" s="502" t="s">
        <v>259</v>
      </c>
      <c r="C78" s="260">
        <f>IF('Assets and Depreciation'!V9&lt;=0,0,'Assets and Depreciation'!V7)</f>
        <v>0</v>
      </c>
      <c r="D78" s="263">
        <f>IF('Assets and Depreciation'!V9&lt;=1,0,'Assets and Depreciation'!V7)</f>
        <v>0</v>
      </c>
      <c r="E78" s="263">
        <f>IF('Assets and Depreciation'!V9&lt;=2,0,'Assets and Depreciation'!V7)</f>
        <v>0</v>
      </c>
      <c r="F78" s="263">
        <f>IF('Assets and Depreciation'!V9&lt;=3,0,'Assets and Depreciation'!V7)</f>
        <v>0</v>
      </c>
      <c r="G78" s="263">
        <f>IF('Assets and Depreciation'!V9&lt;=4,0,'Assets and Depreciation'!V7)</f>
        <v>0</v>
      </c>
      <c r="H78" s="263">
        <f>IF('Assets and Depreciation'!V9&lt;=5,0,'Assets and Depreciation'!V7)</f>
        <v>0</v>
      </c>
      <c r="I78" s="263">
        <f>IF('Assets and Depreciation'!V9&lt;=6,0,'Assets and Depreciation'!V7)</f>
        <v>0</v>
      </c>
      <c r="J78" s="263">
        <f>IF('Assets and Depreciation'!V9&lt;=7,0,'Assets and Depreciation'!V7)</f>
        <v>0</v>
      </c>
      <c r="K78" s="263">
        <f>IF('Assets and Depreciation'!V9&lt;=8,0,'Assets and Depreciation'!V7)</f>
        <v>0</v>
      </c>
      <c r="L78" s="263">
        <f>IF('Assets and Depreciation'!V9&lt;=9,0,'Assets and Depreciation'!V7)</f>
        <v>0</v>
      </c>
      <c r="M78" s="263">
        <f>IF('Assets and Depreciation'!V9&lt;=10,0,'Assets and Depreciation'!V7)</f>
        <v>0</v>
      </c>
      <c r="N78" s="263">
        <f>IF('Assets and Depreciation'!V9&lt;=11,0,'Assets and Depreciation'!V7)</f>
        <v>0</v>
      </c>
      <c r="O78" s="445">
        <f>SUM(C78:N78)</f>
        <v>0</v>
      </c>
      <c r="P78" s="262">
        <f>SUM(O78-'Assets and Depreciation'!V10)</f>
        <v>0</v>
      </c>
      <c r="R78" s="235"/>
    </row>
    <row r="79" spans="1:23" ht="21" customHeight="1" thickBot="1">
      <c r="A79" s="444" t="s">
        <v>301</v>
      </c>
      <c r="B79" s="264"/>
      <c r="C79" s="265">
        <f>SUMIF('Assets and Depreciation'!$F$25:$F$29,0,'Assets and Depreciation'!$D$25:$D$29)+N("the first month is numbered zero")</f>
        <v>0</v>
      </c>
      <c r="D79" s="266">
        <f>SUMIF('Assets and Depreciation'!$F$25:$F$29,1,'Assets and Depreciation'!$D$25:$D$29)+N("the first month is numbered zero")</f>
        <v>0</v>
      </c>
      <c r="E79" s="266">
        <f>SUMIF('Assets and Depreciation'!$F$25:$F$29,2,'Assets and Depreciation'!$D$25:$D$29)+N("the first month is numbered zero")</f>
        <v>0</v>
      </c>
      <c r="F79" s="266">
        <f>SUMIF('Assets and Depreciation'!$F$25:$F$29,3,'Assets and Depreciation'!$D$25:$D$29)+N("the first month is numbered zero")</f>
        <v>0</v>
      </c>
      <c r="G79" s="266">
        <f>SUMIF('Assets and Depreciation'!$F$25:$F$29,4,'Assets and Depreciation'!$D$25:$D$29)+N("the first month is numbered zero")</f>
        <v>0</v>
      </c>
      <c r="H79" s="266">
        <f>SUMIF('Assets and Depreciation'!$F$25:$F$29,5,'Assets and Depreciation'!$D$25:$D$29)+N("the first month is numbered zero")</f>
        <v>0</v>
      </c>
      <c r="I79" s="266">
        <f>SUMIF('Assets and Depreciation'!$F$25:$F$29,6,'Assets and Depreciation'!$D$25:$D$29)+N("the first month is numbered zero")</f>
        <v>0</v>
      </c>
      <c r="J79" s="266">
        <f>SUMIF('Assets and Depreciation'!$F$25:$F$29,7,'Assets and Depreciation'!$D$25:$D$29)+N("the first month is numbered zero")</f>
        <v>0</v>
      </c>
      <c r="K79" s="266">
        <f>SUMIF('Assets and Depreciation'!$F$25:$F$29,8,'Assets and Depreciation'!$D$25:$D$29)+N("the first month is numbered zero")</f>
        <v>0</v>
      </c>
      <c r="L79" s="266">
        <f>SUMIF('Assets and Depreciation'!$F$25:$F$29,9,'Assets and Depreciation'!$D$25:$D$29)+N("the first month is numbered zero")</f>
        <v>0</v>
      </c>
      <c r="M79" s="266">
        <f>SUMIF('Assets and Depreciation'!$F$25:$F$29,10,'Assets and Depreciation'!$D$25:$D$29)+N("the first month is numbered zero")</f>
        <v>0</v>
      </c>
      <c r="N79" s="266">
        <f>SUMIF('Assets and Depreciation'!$F$25:$F$29,11,'Assets and Depreciation'!$D$25:$D$29)+N("the first month is numbered zero")</f>
        <v>0</v>
      </c>
      <c r="O79" s="445">
        <f t="shared" si="35"/>
        <v>0</v>
      </c>
      <c r="R79" s="237">
        <f>(O79*'Tables and Calculations'!C7)</f>
        <v>0</v>
      </c>
    </row>
    <row r="80" spans="1:23" ht="21" customHeight="1" thickBot="1">
      <c r="A80" s="674" t="s">
        <v>302</v>
      </c>
      <c r="B80" s="674"/>
      <c r="C80" s="445">
        <f>SUM(C76:C79)</f>
        <v>0</v>
      </c>
      <c r="D80" s="445">
        <f t="shared" ref="D80:N80" si="36">SUM(D76:D79)</f>
        <v>0</v>
      </c>
      <c r="E80" s="445">
        <f t="shared" si="36"/>
        <v>0</v>
      </c>
      <c r="F80" s="445">
        <f>SUM(F76:F79)</f>
        <v>0</v>
      </c>
      <c r="G80" s="445">
        <f t="shared" si="36"/>
        <v>0</v>
      </c>
      <c r="H80" s="445">
        <f t="shared" si="36"/>
        <v>0</v>
      </c>
      <c r="I80" s="445">
        <f t="shared" si="36"/>
        <v>0</v>
      </c>
      <c r="J80" s="445">
        <f t="shared" si="36"/>
        <v>0</v>
      </c>
      <c r="K80" s="445">
        <f t="shared" si="36"/>
        <v>0</v>
      </c>
      <c r="L80" s="445">
        <f t="shared" si="36"/>
        <v>0</v>
      </c>
      <c r="M80" s="445">
        <f t="shared" si="36"/>
        <v>0</v>
      </c>
      <c r="N80" s="445">
        <f t="shared" si="36"/>
        <v>0</v>
      </c>
      <c r="O80" s="445">
        <f>SUM(O76:O79)</f>
        <v>0</v>
      </c>
      <c r="R80" s="267"/>
      <c r="S80" s="39"/>
    </row>
    <row r="81" spans="1:19" ht="21" customHeight="1" thickBot="1">
      <c r="A81" s="678" t="s">
        <v>303</v>
      </c>
      <c r="B81" s="678"/>
      <c r="C81" s="678"/>
      <c r="D81" s="678"/>
      <c r="E81" s="678"/>
      <c r="F81" s="678"/>
      <c r="G81" s="678"/>
      <c r="H81" s="678"/>
      <c r="I81" s="678"/>
      <c r="J81" s="678"/>
      <c r="K81" s="678"/>
      <c r="L81" s="678"/>
      <c r="M81" s="678"/>
      <c r="N81" s="678"/>
      <c r="O81" s="678"/>
      <c r="R81" s="267"/>
    </row>
    <row r="82" spans="1:19" ht="21" customHeight="1" thickBot="1">
      <c r="A82" s="444" t="s">
        <v>304</v>
      </c>
      <c r="B82" s="268"/>
      <c r="C82" s="443"/>
      <c r="D82" s="443"/>
      <c r="E82" s="443"/>
      <c r="F82" s="443"/>
      <c r="G82" s="443"/>
      <c r="H82" s="443"/>
      <c r="I82" s="443"/>
      <c r="J82" s="443"/>
      <c r="K82" s="443"/>
      <c r="L82" s="443"/>
      <c r="M82" s="443"/>
      <c r="N82" s="443"/>
      <c r="O82" s="445">
        <f>SUM(C82:N82)</f>
        <v>0</v>
      </c>
      <c r="R82" s="267"/>
    </row>
    <row r="83" spans="1:19" ht="21" customHeight="1" thickBot="1">
      <c r="A83" s="678" t="s">
        <v>305</v>
      </c>
      <c r="B83" s="678"/>
      <c r="C83" s="678"/>
      <c r="D83" s="678"/>
      <c r="E83" s="678"/>
      <c r="F83" s="678"/>
      <c r="G83" s="678"/>
      <c r="H83" s="678"/>
      <c r="I83" s="678"/>
      <c r="J83" s="678"/>
      <c r="K83" s="678"/>
      <c r="L83" s="678"/>
      <c r="M83" s="678"/>
      <c r="N83" s="678"/>
      <c r="O83" s="678"/>
      <c r="R83" s="267"/>
    </row>
    <row r="84" spans="1:19" ht="21" customHeight="1" thickBot="1">
      <c r="A84" s="444" t="s">
        <v>306</v>
      </c>
      <c r="B84" s="223"/>
      <c r="C84" s="443">
        <f>IF('Set Up Details'!$D$11="Quarterly",IF(OR(C3="Jul",C3="Oct",C3="Jan",C3="Apr"),'Assets and Depreciation'!Q5,0),IF('Set Up Details'!$D$11="Monthly",'Assets and Depreciation'!Q5,0))</f>
        <v>0</v>
      </c>
      <c r="D84" s="443" t="e">
        <f>IF('Set Up Details'!$D$11="Quarterly",IF(OR(D3="Jul",D3="Oct",D3="Jan",D3="Apr"),C92,0),IF('Set Up Details'!$D$11="Monthly",C92,0))</f>
        <v>#VALUE!</v>
      </c>
      <c r="E84" s="443" t="e">
        <f>IF('Set Up Details'!$D$11="Quarterly",IF(OR(E3="Jul",E3="Oct",E3="Jan",E3="Apr"),D92,0),IF('Set Up Details'!$D$11="Monthly",D92,0))</f>
        <v>#VALUE!</v>
      </c>
      <c r="F84" s="443" t="e">
        <f>IF('Set Up Details'!$D$11="Quarterly",IF(OR(F3="Jul",F3="Oct",F3="Jan",F3="Apr"),E92,0),IF('Set Up Details'!$D$11="Monthly",E92,0))</f>
        <v>#VALUE!</v>
      </c>
      <c r="G84" s="443" t="e">
        <f>IF('Set Up Details'!$D$11="Quarterly",IF(OR(G3="Jul",G3="Oct",G3="Jan",G3="Apr"),F92,0),IF('Set Up Details'!$D$11="Monthly",F92,0))</f>
        <v>#VALUE!</v>
      </c>
      <c r="H84" s="443" t="e">
        <f>IF('Set Up Details'!$D$11="Quarterly",IF(OR(H3="Jul",H3="Oct",H3="Jan",H3="Apr"),G92,0),IF('Set Up Details'!$D$11="Monthly",G92,0))</f>
        <v>#VALUE!</v>
      </c>
      <c r="I84" s="443" t="e">
        <f>IF('Set Up Details'!$D$11="Quarterly",IF(OR(I3="Jul",I3="Oct",I3="Jan",I3="Apr"),H92,0),IF('Set Up Details'!$D$11="Monthly",H92,0))</f>
        <v>#VALUE!</v>
      </c>
      <c r="J84" s="443" t="e">
        <f>IF('Set Up Details'!$D$11="Quarterly",IF(OR(J3="Jul",J3="Oct",J3="Jan",J3="Apr"),I92,0),IF('Set Up Details'!$D$11="Monthly",I92,0))</f>
        <v>#VALUE!</v>
      </c>
      <c r="K84" s="443" t="e">
        <f>IF('Set Up Details'!$D$11="Quarterly",IF(OR(K3="Jul",K3="Oct",K3="Jan",K3="Apr"),J92,0),IF('Set Up Details'!$D$11="Monthly",J92,0))</f>
        <v>#VALUE!</v>
      </c>
      <c r="L84" s="443" t="e">
        <f>IF('Set Up Details'!$D$11="Quarterly",IF(OR(L3="Jul",L3="Oct",L3="Jan",L3="Apr"),K92,0),IF('Set Up Details'!$D$11="Monthly",K92,0))</f>
        <v>#VALUE!</v>
      </c>
      <c r="M84" s="443" t="e">
        <f>IF('Set Up Details'!$D$11="Quarterly",IF(OR(M3="Jul",M3="Oct",M3="Jan",M3="Apr"),L92,0),IF('Set Up Details'!$D$11="Monthly",L92,0))</f>
        <v>#VALUE!</v>
      </c>
      <c r="N84" s="443" t="e">
        <f>IF('Set Up Details'!$D$11="Quarterly",IF(OR(N3="Jul",N3="Oct",N3="Jan",N3="Apr"),M92,0),IF('Set Up Details'!$D$11="Monthly",M92,0))</f>
        <v>#VALUE!</v>
      </c>
      <c r="O84" s="445" t="e">
        <f>SUM(C84:N84)</f>
        <v>#VALUE!</v>
      </c>
      <c r="R84" s="267"/>
    </row>
    <row r="85" spans="1:19" ht="21" customHeight="1" thickBot="1">
      <c r="A85" s="444" t="s">
        <v>307</v>
      </c>
      <c r="B85" s="223"/>
      <c r="C85" s="269"/>
      <c r="D85" s="270"/>
      <c r="E85" s="443">
        <f>(IF(OR(E3="Jan",E3="Apr",E3="Jul",E3="Oct"),'Tables and Calculations'!G25*0.25,0))</f>
        <v>0</v>
      </c>
      <c r="F85" s="443" t="e">
        <f>(IF(OR(F3="Jan",F3="Apr",F3="Jul",F3="Oct"),'Tables and Calculations'!$G$25*0.25,0))</f>
        <v>#VALUE!</v>
      </c>
      <c r="G85" s="443">
        <f>(IF(OR(G3="Jan",G3="Apr",G3="Jul",G3="Oct"),'Tables and Calculations'!$G$25*0.25,0))</f>
        <v>0</v>
      </c>
      <c r="H85" s="443">
        <f>(IF(OR(H3="Jan",H3="Apr",H3="Jul",H3="Oct"),'Tables and Calculations'!$G$25*0.25,0))</f>
        <v>0</v>
      </c>
      <c r="I85" s="443" t="e">
        <f>(IF(OR(I3="Jan",I3="Apr",I3="Jul",I3="Oct"),'Tables and Calculations'!$G$25*0.25,0))</f>
        <v>#VALUE!</v>
      </c>
      <c r="J85" s="443">
        <f>(IF(OR(J3="Jan",J3="Apr",J3="Jul",J3="Oct"),'Tables and Calculations'!$G$25*0.25,0))</f>
        <v>0</v>
      </c>
      <c r="K85" s="443">
        <f>(IF(OR(K3="Jan",K3="Apr",K3="Jul",K3="Oct"),'Tables and Calculations'!$G$25*0.25,0))</f>
        <v>0</v>
      </c>
      <c r="L85" s="443" t="e">
        <f>(IF(OR(L3="Jan",L3="Apr",L3="Jul",L3="Oct"),'Tables and Calculations'!$G$25*0.25,0))</f>
        <v>#VALUE!</v>
      </c>
      <c r="M85" s="443">
        <f>(IF(OR(M3="Jan",M3="Apr",M3="Jul",M3="Oct"),'Tables and Calculations'!$G$25*0.25,0))</f>
        <v>0</v>
      </c>
      <c r="N85" s="443">
        <f>(IF(OR(N3="Jan",N3="Apr",N3="Jul",N3="Oct"),'Tables and Calculations'!$G$25*0.25,0))</f>
        <v>0</v>
      </c>
      <c r="O85" s="445" t="e">
        <f t="shared" ref="O85:O86" si="37">SUM(C85:N85)</f>
        <v>#VALUE!</v>
      </c>
      <c r="R85" s="267"/>
    </row>
    <row r="86" spans="1:19" ht="21" customHeight="1" thickBot="1">
      <c r="A86" s="674" t="s">
        <v>308</v>
      </c>
      <c r="B86" s="674"/>
      <c r="C86" s="443">
        <f>SUM(C82:C85)</f>
        <v>0</v>
      </c>
      <c r="D86" s="443" t="e">
        <f t="shared" ref="D86:N86" si="38">SUM(D82:D85)</f>
        <v>#VALUE!</v>
      </c>
      <c r="E86" s="443" t="e">
        <f t="shared" si="38"/>
        <v>#VALUE!</v>
      </c>
      <c r="F86" s="443" t="e">
        <f t="shared" si="38"/>
        <v>#VALUE!</v>
      </c>
      <c r="G86" s="443" t="e">
        <f t="shared" si="38"/>
        <v>#VALUE!</v>
      </c>
      <c r="H86" s="443" t="e">
        <f t="shared" si="38"/>
        <v>#VALUE!</v>
      </c>
      <c r="I86" s="443" t="e">
        <f t="shared" si="38"/>
        <v>#VALUE!</v>
      </c>
      <c r="J86" s="443" t="e">
        <f t="shared" si="38"/>
        <v>#VALUE!</v>
      </c>
      <c r="K86" s="443" t="e">
        <f t="shared" si="38"/>
        <v>#VALUE!</v>
      </c>
      <c r="L86" s="443" t="e">
        <f t="shared" si="38"/>
        <v>#VALUE!</v>
      </c>
      <c r="M86" s="443" t="e">
        <f t="shared" si="38"/>
        <v>#VALUE!</v>
      </c>
      <c r="N86" s="443" t="e">
        <f t="shared" si="38"/>
        <v>#VALUE!</v>
      </c>
      <c r="O86" s="445" t="e">
        <f t="shared" si="37"/>
        <v>#VALUE!</v>
      </c>
      <c r="R86" s="271"/>
      <c r="S86" s="39"/>
    </row>
    <row r="87" spans="1:19" ht="18.75" thickBot="1">
      <c r="A87" s="674" t="s">
        <v>115</v>
      </c>
      <c r="B87" s="674"/>
      <c r="C87" s="445" t="e">
        <f t="shared" ref="C87:N87" si="39">C25+C74+C80+C86</f>
        <v>#VALUE!</v>
      </c>
      <c r="D87" s="445" t="e">
        <f t="shared" si="39"/>
        <v>#VALUE!</v>
      </c>
      <c r="E87" s="445" t="e">
        <f t="shared" si="39"/>
        <v>#VALUE!</v>
      </c>
      <c r="F87" s="445" t="e">
        <f t="shared" si="39"/>
        <v>#VALUE!</v>
      </c>
      <c r="G87" s="445" t="e">
        <f t="shared" si="39"/>
        <v>#VALUE!</v>
      </c>
      <c r="H87" s="445" t="e">
        <f t="shared" si="39"/>
        <v>#VALUE!</v>
      </c>
      <c r="I87" s="445" t="e">
        <f t="shared" si="39"/>
        <v>#VALUE!</v>
      </c>
      <c r="J87" s="445" t="e">
        <f t="shared" si="39"/>
        <v>#VALUE!</v>
      </c>
      <c r="K87" s="445" t="e">
        <f t="shared" si="39"/>
        <v>#VALUE!</v>
      </c>
      <c r="L87" s="445" t="e">
        <f t="shared" si="39"/>
        <v>#VALUE!</v>
      </c>
      <c r="M87" s="445" t="e">
        <f t="shared" si="39"/>
        <v>#VALUE!</v>
      </c>
      <c r="N87" s="445" t="e">
        <f t="shared" si="39"/>
        <v>#VALUE!</v>
      </c>
      <c r="O87" s="445" t="e">
        <f>SUM(C87:N87)</f>
        <v>#VALUE!</v>
      </c>
      <c r="R87" s="272"/>
    </row>
    <row r="88" spans="1:19">
      <c r="M88" s="684"/>
      <c r="N88" s="684"/>
      <c r="O88" s="684"/>
      <c r="P88" s="273"/>
      <c r="Q88" s="273"/>
      <c r="R88" s="274"/>
    </row>
    <row r="89" spans="1:19">
      <c r="R89" s="274"/>
      <c r="S89" s="39"/>
    </row>
    <row r="90" spans="1:19">
      <c r="A90" s="588" t="s">
        <v>309</v>
      </c>
      <c r="B90" s="588"/>
      <c r="C90" s="503">
        <v>0</v>
      </c>
      <c r="D90" s="503">
        <f>'Debtors analysis'!R22</f>
        <v>0</v>
      </c>
      <c r="E90" s="503">
        <f>'Debtors analysis'!S22</f>
        <v>0</v>
      </c>
      <c r="F90" s="503">
        <f>'Debtors analysis'!T22</f>
        <v>0</v>
      </c>
      <c r="G90" s="503">
        <f>'Debtors analysis'!U22</f>
        <v>0</v>
      </c>
      <c r="H90" s="503">
        <f>'Debtors analysis'!V22</f>
        <v>0</v>
      </c>
      <c r="I90" s="503">
        <f>'Debtors analysis'!W22</f>
        <v>0</v>
      </c>
      <c r="J90" s="503">
        <f>'Debtors analysis'!X22</f>
        <v>0</v>
      </c>
      <c r="K90" s="503">
        <f>'Debtors analysis'!Y22</f>
        <v>0</v>
      </c>
      <c r="L90" s="503">
        <f>'Debtors analysis'!Z22</f>
        <v>0</v>
      </c>
      <c r="M90" s="503">
        <f>'Debtors analysis'!AA22</f>
        <v>0</v>
      </c>
      <c r="N90" s="503">
        <f>'Debtors analysis'!AB22</f>
        <v>0</v>
      </c>
      <c r="O90" s="39"/>
      <c r="P90" s="39"/>
      <c r="Q90" s="39"/>
      <c r="R90" s="274"/>
      <c r="S90" s="39"/>
    </row>
    <row r="91" spans="1:19" ht="15" customHeight="1" thickBot="1">
      <c r="A91" s="682" t="s">
        <v>310</v>
      </c>
      <c r="B91" s="683"/>
      <c r="C91" s="503" t="e">
        <f>IF('Tables and Calculations'!$B$7&gt;1,((C25+SUM(C27:C67)+C79)*'Tables and Calculations'!$C$7),0)</f>
        <v>#VALUE!</v>
      </c>
      <c r="D91" s="503" t="e">
        <f>IF('Tables and Calculations'!$B$7&gt;1,((D25+SUM(D27:D67)+D79)*'Tables and Calculations'!$C$7),0)</f>
        <v>#VALUE!</v>
      </c>
      <c r="E91" s="503" t="e">
        <f>IF('Tables and Calculations'!$B$7&gt;1,((E25+SUM(E27:E67)+E79)*'Tables and Calculations'!$C$7),0)</f>
        <v>#VALUE!</v>
      </c>
      <c r="F91" s="503" t="e">
        <f>IF('Tables and Calculations'!$B$7&gt;1,((F25+SUM(F27:F67)+F79)*'Tables and Calculations'!$C$7),0)</f>
        <v>#VALUE!</v>
      </c>
      <c r="G91" s="503" t="e">
        <f>IF('Tables and Calculations'!$B$7&gt;1,((G25+SUM(G27:G67)+G79)*'Tables and Calculations'!$C$7),0)</f>
        <v>#VALUE!</v>
      </c>
      <c r="H91" s="503" t="e">
        <f>IF('Tables and Calculations'!$B$7&gt;1,((H25+SUM(H27:H67)+H79)*'Tables and Calculations'!$C$7),0)</f>
        <v>#VALUE!</v>
      </c>
      <c r="I91" s="503" t="e">
        <f>IF('Tables and Calculations'!$B$7&gt;1,((I25+SUM(I27:I67)+I79)*'Tables and Calculations'!$C$7),0)</f>
        <v>#VALUE!</v>
      </c>
      <c r="J91" s="503" t="e">
        <f>IF('Tables and Calculations'!$B$7&gt;1,((J25+SUM(J27:J67)+J79)*'Tables and Calculations'!$C$7),0)</f>
        <v>#VALUE!</v>
      </c>
      <c r="K91" s="503" t="e">
        <f>IF('Tables and Calculations'!$B$7&gt;1,((K25+SUM(K27:K67)+K79)*'Tables and Calculations'!$C$7),0)</f>
        <v>#VALUE!</v>
      </c>
      <c r="L91" s="503" t="e">
        <f>IF('Tables and Calculations'!$B$7&gt;1,((L25+SUM(L27:L67)+L79)*'Tables and Calculations'!$C$7),0)</f>
        <v>#VALUE!</v>
      </c>
      <c r="M91" s="503" t="e">
        <f>IF('Tables and Calculations'!$B$7&gt;1,((M25+SUM(M27:M67)+M79)*'Tables and Calculations'!$C$7),0)</f>
        <v>#VALUE!</v>
      </c>
      <c r="N91" s="503" t="e">
        <f>IF('Tables and Calculations'!$B$7&gt;1,((N25+SUM(N27:N67)+N79)*'Tables and Calculations'!$C$7),0)</f>
        <v>#VALUE!</v>
      </c>
      <c r="O91" s="39"/>
      <c r="R91" s="274"/>
    </row>
    <row r="92" spans="1:19" ht="16.5" customHeight="1" thickBot="1">
      <c r="A92" s="588" t="s">
        <v>311</v>
      </c>
      <c r="B92" s="588"/>
      <c r="C92" s="503" t="e">
        <f>('Assets and Depreciation'!Q5+C90-C91-C84)</f>
        <v>#VALUE!</v>
      </c>
      <c r="D92" s="503" t="e">
        <f>(C92+D90-D91-D84)</f>
        <v>#VALUE!</v>
      </c>
      <c r="E92" s="503" t="e">
        <f>(D92+E90-E91-E84)</f>
        <v>#VALUE!</v>
      </c>
      <c r="F92" s="503" t="e">
        <f t="shared" ref="F92:N92" si="40">(E92+F90-F91-F84)</f>
        <v>#VALUE!</v>
      </c>
      <c r="G92" s="503" t="e">
        <f t="shared" si="40"/>
        <v>#VALUE!</v>
      </c>
      <c r="H92" s="503" t="e">
        <f t="shared" si="40"/>
        <v>#VALUE!</v>
      </c>
      <c r="I92" s="503" t="e">
        <f t="shared" si="40"/>
        <v>#VALUE!</v>
      </c>
      <c r="J92" s="503" t="e">
        <f t="shared" si="40"/>
        <v>#VALUE!</v>
      </c>
      <c r="K92" s="503" t="e">
        <f t="shared" si="40"/>
        <v>#VALUE!</v>
      </c>
      <c r="L92" s="503" t="e">
        <f t="shared" si="40"/>
        <v>#VALUE!</v>
      </c>
      <c r="M92" s="503" t="e">
        <f t="shared" si="40"/>
        <v>#VALUE!</v>
      </c>
      <c r="N92" s="503" t="e">
        <f t="shared" si="40"/>
        <v>#VALUE!</v>
      </c>
      <c r="O92" s="445" t="e">
        <f>'Assets and Depreciation'!Q5+(R12+R14-((SUM(R22:R79)+O84)))</f>
        <v>#VALUE!</v>
      </c>
      <c r="P92" s="39"/>
      <c r="Q92" s="39"/>
      <c r="R92" s="275" t="e">
        <f>O92-N92</f>
        <v>#VALUE!</v>
      </c>
    </row>
    <row r="97" spans="1:14" hidden="1">
      <c r="A97" s="276" t="s">
        <v>312</v>
      </c>
      <c r="B97" s="276"/>
      <c r="C97" s="276">
        <v>0</v>
      </c>
      <c r="D97" s="276">
        <v>1</v>
      </c>
      <c r="E97" s="276">
        <v>2</v>
      </c>
      <c r="F97" s="276">
        <v>3</v>
      </c>
      <c r="G97" s="276">
        <v>4</v>
      </c>
      <c r="H97" s="276">
        <v>5</v>
      </c>
      <c r="I97" s="276">
        <v>6</v>
      </c>
      <c r="J97" s="276">
        <v>7</v>
      </c>
      <c r="K97" s="276">
        <v>8</v>
      </c>
      <c r="L97" s="276">
        <v>9</v>
      </c>
      <c r="M97" s="276">
        <v>10</v>
      </c>
      <c r="N97" s="276">
        <v>11</v>
      </c>
    </row>
  </sheetData>
  <mergeCells count="31">
    <mergeCell ref="A92:B92"/>
    <mergeCell ref="A83:O83"/>
    <mergeCell ref="A86:B86"/>
    <mergeCell ref="A87:B87"/>
    <mergeCell ref="M88:O88"/>
    <mergeCell ref="A90:B90"/>
    <mergeCell ref="A91:B91"/>
    <mergeCell ref="V52:V53"/>
    <mergeCell ref="W52:W53"/>
    <mergeCell ref="A74:B74"/>
    <mergeCell ref="A75:O75"/>
    <mergeCell ref="A80:B80"/>
    <mergeCell ref="T52:T53"/>
    <mergeCell ref="U52:U53"/>
    <mergeCell ref="A81:O81"/>
    <mergeCell ref="A18:B18"/>
    <mergeCell ref="A20:O20"/>
    <mergeCell ref="A25:B25"/>
    <mergeCell ref="S52:S53"/>
    <mergeCell ref="P7:Q7"/>
    <mergeCell ref="A9:B9"/>
    <mergeCell ref="P9:Q9"/>
    <mergeCell ref="A11:O11"/>
    <mergeCell ref="C13:O13"/>
    <mergeCell ref="C15:O15"/>
    <mergeCell ref="B1:O1"/>
    <mergeCell ref="A2:O2"/>
    <mergeCell ref="A4:B4"/>
    <mergeCell ref="A5:B5"/>
    <mergeCell ref="A6:B6"/>
    <mergeCell ref="A7:B7"/>
  </mergeCells>
  <conditionalFormatting sqref="C7:N7">
    <cfRule type="cellIs" dxfId="3" priority="1" operator="lessThan">
      <formula>0</formula>
    </cfRule>
  </conditionalFormatting>
  <dataValidations count="1">
    <dataValidation allowBlank="1" showInputMessage="1" showErrorMessage="1" prompt="If the start month for intermittent payments needs to be adjusted, ask your trainer for assistance." sqref="C54:N67" xr:uid="{32212DAB-950D-4F4A-B685-8424AA5B3580}"/>
  </dataValidations>
  <hyperlinks>
    <hyperlink ref="A35" r:id="rId1" display="https://www.ato.gov.au/calculators-and-tools/home-office-expenses-calculator/" xr:uid="{C8E83090-DD6D-415F-AE3E-7103230FF8A9}"/>
  </hyperlinks>
  <pageMargins left="0.25" right="0.25" top="0.75" bottom="0.75" header="0.3" footer="0.3"/>
  <pageSetup paperSize="9" scale="31" orientation="portrait" r:id="rId2"/>
  <headerFooter alignWithMargins="0">
    <oddHeader>&amp;L&amp;A&amp;CSelf-Employment Assistance</oddHeader>
  </headerFooter>
  <rowBreaks count="1" manualBreakCount="1">
    <brk id="87" max="16383" man="1"/>
  </rowBreaks>
  <colBreaks count="1" manualBreakCount="1">
    <brk id="17"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572E-5CF5-4555-BC44-AF749CE2911C}">
  <sheetPr>
    <tabColor theme="4" tint="-0.249977111117893"/>
    <pageSetUpPr fitToPage="1"/>
  </sheetPr>
  <dimension ref="A1:W97"/>
  <sheetViews>
    <sheetView zoomScale="80" zoomScaleNormal="80" zoomScaleSheetLayoutView="30" workbookViewId="0">
      <pane ySplit="3" topLeftCell="A4" activePane="bottomLeft" state="frozen"/>
      <selection activeCell="H7" sqref="H7"/>
      <selection pane="bottomLeft" activeCell="Q15" sqref="Q15"/>
    </sheetView>
  </sheetViews>
  <sheetFormatPr defaultColWidth="9.28515625" defaultRowHeight="15"/>
  <cols>
    <col min="1" max="1" width="69.7109375" style="196" customWidth="1"/>
    <col min="2" max="2" width="9.85546875" style="196" customWidth="1"/>
    <col min="3" max="15" width="13.28515625" style="196" customWidth="1"/>
    <col min="16" max="16" width="15.7109375" style="196" customWidth="1"/>
    <col min="17" max="17" width="56.7109375" style="196" customWidth="1"/>
    <col min="18" max="18" width="11.5703125" style="196" hidden="1" customWidth="1"/>
    <col min="19" max="19" width="13.5703125" style="196" hidden="1" customWidth="1"/>
    <col min="20" max="20" width="12.28515625" style="196" hidden="1" customWidth="1"/>
    <col min="21" max="22" width="12" style="196" hidden="1" customWidth="1"/>
    <col min="23" max="23" width="11.7109375" style="196" hidden="1" customWidth="1"/>
    <col min="24" max="24" width="13.28515625" style="196" customWidth="1"/>
    <col min="25" max="16384" width="9.28515625" style="196"/>
  </cols>
  <sheetData>
    <row r="1" spans="1:18" ht="28.5" customHeight="1">
      <c r="A1" s="421" t="s">
        <v>181</v>
      </c>
      <c r="B1" s="583" t="str">
        <f>'Set Up Details'!C2</f>
        <v>Test1</v>
      </c>
      <c r="C1" s="583"/>
      <c r="D1" s="583"/>
      <c r="E1" s="583"/>
      <c r="F1" s="583"/>
      <c r="G1" s="583"/>
      <c r="H1" s="583"/>
      <c r="I1" s="583"/>
      <c r="J1" s="583"/>
      <c r="K1" s="583"/>
      <c r="L1" s="583"/>
      <c r="M1" s="583"/>
      <c r="N1" s="583"/>
      <c r="O1" s="583"/>
    </row>
    <row r="2" spans="1:18" ht="30" customHeight="1">
      <c r="A2" s="668" t="s">
        <v>469</v>
      </c>
      <c r="B2" s="668"/>
      <c r="C2" s="668"/>
      <c r="D2" s="668"/>
      <c r="E2" s="668"/>
      <c r="F2" s="668"/>
      <c r="G2" s="668"/>
      <c r="H2" s="668"/>
      <c r="I2" s="668"/>
      <c r="J2" s="668"/>
      <c r="K2" s="668"/>
      <c r="L2" s="668"/>
      <c r="M2" s="668"/>
      <c r="N2" s="668"/>
      <c r="O2" s="668"/>
    </row>
    <row r="3" spans="1:18" ht="22.5" customHeight="1" thickBot="1">
      <c r="A3" s="496"/>
      <c r="B3" s="496"/>
      <c r="C3" s="422" t="str">
        <f>'Tables and Calculations'!B2</f>
        <v>Jan</v>
      </c>
      <c r="D3" s="422" t="str">
        <f>'Tables and Calculations'!C2</f>
        <v>Feb</v>
      </c>
      <c r="E3" s="422" t="str">
        <f>'Tables and Calculations'!D2</f>
        <v>Mar</v>
      </c>
      <c r="F3" s="422" t="str">
        <f>'Tables and Calculations'!E2</f>
        <v>Apr</v>
      </c>
      <c r="G3" s="422" t="str">
        <f>'Tables and Calculations'!F2</f>
        <v>May</v>
      </c>
      <c r="H3" s="422" t="str">
        <f>'Tables and Calculations'!G2</f>
        <v>Jun</v>
      </c>
      <c r="I3" s="422" t="str">
        <f>'Tables and Calculations'!H2</f>
        <v>Jul</v>
      </c>
      <c r="J3" s="422" t="str">
        <f>'Tables and Calculations'!I2</f>
        <v>Aug</v>
      </c>
      <c r="K3" s="422" t="str">
        <f>'Tables and Calculations'!J2</f>
        <v>Sep</v>
      </c>
      <c r="L3" s="422" t="str">
        <f>'Tables and Calculations'!K2</f>
        <v>Oct</v>
      </c>
      <c r="M3" s="422" t="str">
        <f>'Tables and Calculations'!L2</f>
        <v>Nov</v>
      </c>
      <c r="N3" s="422" t="str">
        <f>'Tables and Calculations'!M2</f>
        <v>Dec</v>
      </c>
      <c r="O3" s="422" t="s">
        <v>60</v>
      </c>
    </row>
    <row r="4" spans="1:18" ht="15" customHeight="1" thickBot="1">
      <c r="A4" s="672" t="s">
        <v>41</v>
      </c>
      <c r="B4" s="672"/>
      <c r="C4" s="443">
        <f>'Assets and Depreciation'!B17</f>
        <v>0</v>
      </c>
      <c r="D4" s="443" t="e">
        <f t="shared" ref="D4:N4" si="0">C7</f>
        <v>#VALUE!</v>
      </c>
      <c r="E4" s="443" t="e">
        <f t="shared" si="0"/>
        <v>#VALUE!</v>
      </c>
      <c r="F4" s="443" t="e">
        <f t="shared" si="0"/>
        <v>#VALUE!</v>
      </c>
      <c r="G4" s="443" t="e">
        <f t="shared" si="0"/>
        <v>#VALUE!</v>
      </c>
      <c r="H4" s="443" t="e">
        <f t="shared" si="0"/>
        <v>#VALUE!</v>
      </c>
      <c r="I4" s="443" t="e">
        <f t="shared" si="0"/>
        <v>#VALUE!</v>
      </c>
      <c r="J4" s="443" t="e">
        <f t="shared" si="0"/>
        <v>#VALUE!</v>
      </c>
      <c r="K4" s="443" t="e">
        <f t="shared" si="0"/>
        <v>#VALUE!</v>
      </c>
      <c r="L4" s="443" t="e">
        <f t="shared" si="0"/>
        <v>#VALUE!</v>
      </c>
      <c r="M4" s="443" t="e">
        <f t="shared" si="0"/>
        <v>#VALUE!</v>
      </c>
      <c r="N4" s="443" t="e">
        <f t="shared" si="0"/>
        <v>#VALUE!</v>
      </c>
      <c r="O4" s="445">
        <f>C4</f>
        <v>0</v>
      </c>
    </row>
    <row r="5" spans="1:18" ht="15" customHeight="1" thickBot="1">
      <c r="A5" s="672" t="s">
        <v>68</v>
      </c>
      <c r="B5" s="672"/>
      <c r="C5" s="443" t="e">
        <f t="shared" ref="C5:N5" si="1">C18</f>
        <v>#VALUE!</v>
      </c>
      <c r="D5" s="443" t="e">
        <f t="shared" si="1"/>
        <v>#VALUE!</v>
      </c>
      <c r="E5" s="443" t="e">
        <f t="shared" si="1"/>
        <v>#VALUE!</v>
      </c>
      <c r="F5" s="443" t="e">
        <f t="shared" si="1"/>
        <v>#VALUE!</v>
      </c>
      <c r="G5" s="443" t="e">
        <f t="shared" si="1"/>
        <v>#VALUE!</v>
      </c>
      <c r="H5" s="443" t="e">
        <f t="shared" si="1"/>
        <v>#VALUE!</v>
      </c>
      <c r="I5" s="443" t="e">
        <f t="shared" si="1"/>
        <v>#VALUE!</v>
      </c>
      <c r="J5" s="443" t="e">
        <f t="shared" si="1"/>
        <v>#VALUE!</v>
      </c>
      <c r="K5" s="443" t="e">
        <f t="shared" si="1"/>
        <v>#VALUE!</v>
      </c>
      <c r="L5" s="443" t="e">
        <f t="shared" si="1"/>
        <v>#VALUE!</v>
      </c>
      <c r="M5" s="443" t="e">
        <f t="shared" si="1"/>
        <v>#VALUE!</v>
      </c>
      <c r="N5" s="443" t="e">
        <f t="shared" si="1"/>
        <v>#VALUE!</v>
      </c>
      <c r="O5" s="445" t="e">
        <f>SUM(C5:N5)</f>
        <v>#VALUE!</v>
      </c>
      <c r="P5" s="227"/>
    </row>
    <row r="6" spans="1:18" ht="15" customHeight="1" thickBot="1">
      <c r="A6" s="672" t="s">
        <v>115</v>
      </c>
      <c r="B6" s="672"/>
      <c r="C6" s="443" t="e">
        <f>C87</f>
        <v>#VALUE!</v>
      </c>
      <c r="D6" s="443" t="e">
        <f t="shared" ref="D6:N6" si="2">D87</f>
        <v>#VALUE!</v>
      </c>
      <c r="E6" s="443" t="e">
        <f t="shared" si="2"/>
        <v>#VALUE!</v>
      </c>
      <c r="F6" s="443" t="e">
        <f t="shared" si="2"/>
        <v>#VALUE!</v>
      </c>
      <c r="G6" s="443" t="e">
        <f t="shared" si="2"/>
        <v>#VALUE!</v>
      </c>
      <c r="H6" s="443" t="e">
        <f t="shared" si="2"/>
        <v>#VALUE!</v>
      </c>
      <c r="I6" s="443" t="e">
        <f t="shared" si="2"/>
        <v>#VALUE!</v>
      </c>
      <c r="J6" s="443" t="e">
        <f t="shared" si="2"/>
        <v>#VALUE!</v>
      </c>
      <c r="K6" s="443" t="e">
        <f t="shared" si="2"/>
        <v>#VALUE!</v>
      </c>
      <c r="L6" s="443" t="e">
        <f t="shared" si="2"/>
        <v>#VALUE!</v>
      </c>
      <c r="M6" s="443" t="e">
        <f t="shared" si="2"/>
        <v>#VALUE!</v>
      </c>
      <c r="N6" s="443" t="e">
        <f t="shared" si="2"/>
        <v>#VALUE!</v>
      </c>
      <c r="O6" s="445" t="e">
        <f>SUM(C6:N6)</f>
        <v>#VALUE!</v>
      </c>
    </row>
    <row r="7" spans="1:18" ht="15" customHeight="1" thickBot="1">
      <c r="A7" s="672" t="s">
        <v>253</v>
      </c>
      <c r="B7" s="672"/>
      <c r="C7" s="443" t="e">
        <f>SUM(C4+C5-C6)</f>
        <v>#VALUE!</v>
      </c>
      <c r="D7" s="443" t="e">
        <f t="shared" ref="D7:N7" si="3">SUM(D4+D5-D6)</f>
        <v>#VALUE!</v>
      </c>
      <c r="E7" s="443" t="e">
        <f t="shared" si="3"/>
        <v>#VALUE!</v>
      </c>
      <c r="F7" s="443" t="e">
        <f t="shared" si="3"/>
        <v>#VALUE!</v>
      </c>
      <c r="G7" s="443" t="e">
        <f t="shared" si="3"/>
        <v>#VALUE!</v>
      </c>
      <c r="H7" s="443" t="e">
        <f t="shared" si="3"/>
        <v>#VALUE!</v>
      </c>
      <c r="I7" s="443" t="e">
        <f t="shared" si="3"/>
        <v>#VALUE!</v>
      </c>
      <c r="J7" s="443" t="e">
        <f t="shared" si="3"/>
        <v>#VALUE!</v>
      </c>
      <c r="K7" s="443" t="e">
        <f t="shared" si="3"/>
        <v>#VALUE!</v>
      </c>
      <c r="L7" s="443" t="e">
        <f t="shared" si="3"/>
        <v>#VALUE!</v>
      </c>
      <c r="M7" s="443" t="e">
        <f t="shared" si="3"/>
        <v>#VALUE!</v>
      </c>
      <c r="N7" s="443" t="e">
        <f t="shared" si="3"/>
        <v>#VALUE!</v>
      </c>
      <c r="O7" s="445" t="e">
        <f>N7</f>
        <v>#VALUE!</v>
      </c>
      <c r="P7" s="686" t="e">
        <f>IF(OR(C7&lt;0,D7&lt;0,E7&lt;0,F7&lt;0,G7&lt;0,H7&lt;0,I7&lt;0,J7&lt;0,K7&lt;0,L7&lt;0,M7&lt;0,N7&lt;0),"Negative balances to be addressed"," ")</f>
        <v>#VALUE!</v>
      </c>
      <c r="Q7" s="687"/>
    </row>
    <row r="8" spans="1:18" ht="15" customHeight="1" thickBot="1">
      <c r="A8" s="496"/>
      <c r="B8" s="496"/>
      <c r="C8" s="443"/>
      <c r="D8" s="443"/>
      <c r="E8" s="443"/>
      <c r="F8" s="443"/>
      <c r="G8" s="443"/>
      <c r="H8" s="443"/>
      <c r="I8" s="443"/>
      <c r="J8" s="443"/>
      <c r="K8" s="443"/>
      <c r="L8" s="443"/>
      <c r="M8" s="443"/>
      <c r="N8" s="443"/>
      <c r="O8" s="445"/>
      <c r="P8" s="228"/>
      <c r="Q8" s="229"/>
    </row>
    <row r="9" spans="1:18" ht="15" customHeight="1" thickBot="1">
      <c r="A9" s="672" t="s">
        <v>142</v>
      </c>
      <c r="B9" s="672"/>
      <c r="C9" s="443">
        <f>$P$9+SUM('Sales Forecast Year 1'!$D40:D40)-SUM('Sales Forecast Year 1'!$D42:D42)</f>
        <v>0</v>
      </c>
      <c r="D9" s="443">
        <f>$P$9+SUM('Sales Forecast Year 1'!$D40:E40)-SUM('Sales Forecast Year 1'!$D42:E42)</f>
        <v>0</v>
      </c>
      <c r="E9" s="443">
        <f>$P$9+SUM('Sales Forecast Year 1'!$D40:F40)-SUM('Sales Forecast Year 1'!$D42:F42)</f>
        <v>0</v>
      </c>
      <c r="F9" s="443">
        <f>$P$9+SUM('Sales Forecast Year 1'!$D40:G40)-SUM('Sales Forecast Year 1'!$D42:G42)</f>
        <v>0</v>
      </c>
      <c r="G9" s="443">
        <f>$P$9+SUM('Sales Forecast Year 1'!$D40:H40)-SUM('Sales Forecast Year 1'!$D42:H42)</f>
        <v>0</v>
      </c>
      <c r="H9" s="443">
        <f>$P$9+SUM('Sales Forecast Year 1'!$D40:I40)-SUM('Sales Forecast Year 1'!$D42:I42)</f>
        <v>0</v>
      </c>
      <c r="I9" s="443">
        <f>$P$9+SUM('Sales Forecast Year 1'!$D40:J40)-SUM('Sales Forecast Year 1'!$D42:J42)</f>
        <v>0</v>
      </c>
      <c r="J9" s="443">
        <f>$P$9+SUM('Sales Forecast Year 1'!$D40:K40)-SUM('Sales Forecast Year 1'!$D42:K42)</f>
        <v>0</v>
      </c>
      <c r="K9" s="443">
        <f>$P$9+SUM('Sales Forecast Year 1'!$D40:L40)-SUM('Sales Forecast Year 1'!$D42:L42)</f>
        <v>0</v>
      </c>
      <c r="L9" s="443">
        <f>$P$9+SUM('Sales Forecast Year 1'!$D40:M40)-SUM('Sales Forecast Year 1'!$D42:M42)</f>
        <v>0</v>
      </c>
      <c r="M9" s="443">
        <f>$P$9+SUM('Sales Forecast Year 1'!$D40:N40)-SUM('Sales Forecast Year 1'!$D42:N42)</f>
        <v>0</v>
      </c>
      <c r="N9" s="443">
        <f>$P$9+SUM('Sales Forecast Year 1'!$D40:O40)-SUM('Sales Forecast Year 1'!$D42:O42)</f>
        <v>0</v>
      </c>
      <c r="O9" s="445"/>
      <c r="P9" s="686"/>
      <c r="Q9" s="687"/>
    </row>
    <row r="10" spans="1:18" ht="25.9" customHeight="1" thickBot="1">
      <c r="A10" s="230"/>
      <c r="B10" s="230"/>
      <c r="C10" s="225"/>
      <c r="D10" s="225"/>
      <c r="E10" s="225"/>
      <c r="F10" s="225"/>
      <c r="G10" s="225"/>
      <c r="H10" s="225"/>
      <c r="I10" s="225"/>
      <c r="J10" s="225"/>
      <c r="K10" s="225"/>
      <c r="L10" s="225"/>
      <c r="M10" s="225"/>
      <c r="N10" s="225"/>
      <c r="O10" s="225"/>
      <c r="P10" s="229"/>
      <c r="Q10" s="229"/>
    </row>
    <row r="11" spans="1:18" ht="28.15" customHeight="1" thickBot="1">
      <c r="A11" s="526" t="s">
        <v>254</v>
      </c>
      <c r="B11" s="526"/>
      <c r="C11" s="526"/>
      <c r="D11" s="526"/>
      <c r="E11" s="526"/>
      <c r="F11" s="526"/>
      <c r="G11" s="526"/>
      <c r="H11" s="526"/>
      <c r="I11" s="526"/>
      <c r="J11" s="526"/>
      <c r="K11" s="526"/>
      <c r="L11" s="526"/>
      <c r="M11" s="526"/>
      <c r="N11" s="526"/>
      <c r="O11" s="526"/>
      <c r="R11" s="231" t="s">
        <v>255</v>
      </c>
    </row>
    <row r="12" spans="1:18" ht="21" customHeight="1" thickBot="1">
      <c r="A12" s="444" t="s">
        <v>256</v>
      </c>
      <c r="B12" s="232"/>
      <c r="C12" s="443" t="e">
        <f>'Debtors analysis'!C22</f>
        <v>#VALUE!</v>
      </c>
      <c r="D12" s="443" t="e">
        <f>'Debtors analysis'!D22</f>
        <v>#VALUE!</v>
      </c>
      <c r="E12" s="443" t="e">
        <f>'Debtors analysis'!E22</f>
        <v>#VALUE!</v>
      </c>
      <c r="F12" s="443" t="e">
        <f>'Debtors analysis'!F22</f>
        <v>#VALUE!</v>
      </c>
      <c r="G12" s="443" t="e">
        <f>'Debtors analysis'!G22</f>
        <v>#VALUE!</v>
      </c>
      <c r="H12" s="443" t="e">
        <f>'Debtors analysis'!H22</f>
        <v>#VALUE!</v>
      </c>
      <c r="I12" s="443" t="e">
        <f>'Debtors analysis'!I22</f>
        <v>#VALUE!</v>
      </c>
      <c r="J12" s="443" t="e">
        <f>'Debtors analysis'!J22</f>
        <v>#VALUE!</v>
      </c>
      <c r="K12" s="443" t="e">
        <f>'Debtors analysis'!K22</f>
        <v>#VALUE!</v>
      </c>
      <c r="L12" s="443" t="e">
        <f>'Debtors analysis'!L22</f>
        <v>#VALUE!</v>
      </c>
      <c r="M12" s="443" t="e">
        <f>'Debtors analysis'!M22</f>
        <v>#VALUE!</v>
      </c>
      <c r="N12" s="443" t="e">
        <f>'Debtors analysis'!N22</f>
        <v>#VALUE!</v>
      </c>
      <c r="O12" s="445" t="e">
        <f>SUM(C12:N12)</f>
        <v>#VALUE!</v>
      </c>
      <c r="R12" s="233">
        <f>('Debtors analysis'!AC22)</f>
        <v>0</v>
      </c>
    </row>
    <row r="13" spans="1:18" ht="21" customHeight="1" thickBot="1">
      <c r="A13" s="444"/>
      <c r="B13" s="234"/>
      <c r="C13" s="688"/>
      <c r="D13" s="689"/>
      <c r="E13" s="689"/>
      <c r="F13" s="689"/>
      <c r="G13" s="689"/>
      <c r="H13" s="689"/>
      <c r="I13" s="689"/>
      <c r="J13" s="689"/>
      <c r="K13" s="689"/>
      <c r="L13" s="689"/>
      <c r="M13" s="689"/>
      <c r="N13" s="689"/>
      <c r="O13" s="690"/>
      <c r="R13" s="235"/>
    </row>
    <row r="14" spans="1:18" ht="21" customHeight="1" thickBot="1">
      <c r="A14" s="444"/>
      <c r="B14" s="236"/>
      <c r="C14" s="443"/>
      <c r="D14" s="443"/>
      <c r="E14" s="443"/>
      <c r="F14" s="443"/>
      <c r="G14" s="443"/>
      <c r="H14" s="443"/>
      <c r="I14" s="443"/>
      <c r="J14" s="443"/>
      <c r="K14" s="443"/>
      <c r="L14" s="443"/>
      <c r="M14" s="443"/>
      <c r="N14" s="443"/>
      <c r="O14" s="445">
        <f>SUM(C14:N14)</f>
        <v>0</v>
      </c>
      <c r="R14" s="237">
        <f>(O14*'Tables and Calculations'!C7)</f>
        <v>0</v>
      </c>
    </row>
    <row r="15" spans="1:18" ht="21" customHeight="1" thickBot="1">
      <c r="A15" s="444" t="s">
        <v>257</v>
      </c>
      <c r="B15" s="238"/>
      <c r="C15" s="688"/>
      <c r="D15" s="689"/>
      <c r="E15" s="689"/>
      <c r="F15" s="689"/>
      <c r="G15" s="689"/>
      <c r="H15" s="689"/>
      <c r="I15" s="689"/>
      <c r="J15" s="689"/>
      <c r="K15" s="689"/>
      <c r="L15" s="689"/>
      <c r="M15" s="689"/>
      <c r="N15" s="689"/>
      <c r="O15" s="690"/>
      <c r="R15" s="235"/>
    </row>
    <row r="16" spans="1:18" ht="27.75" customHeight="1" thickBot="1">
      <c r="A16" s="444" t="s">
        <v>258</v>
      </c>
      <c r="B16" s="239" t="s">
        <v>259</v>
      </c>
      <c r="C16" s="443">
        <f>IF('Business Loans'!$A$18=C97,'Business Loans'!$B$12,0)+IF('Business Loans'!$A$36=C97,'Business Loans'!$B$30,0)</f>
        <v>0</v>
      </c>
      <c r="D16" s="443">
        <f>IF('Business Loans'!$A$18=D97,'Business Loans'!$B$12,0)+IF('Business Loans'!$A$36=D97,'Business Loans'!$B$30,0)</f>
        <v>0</v>
      </c>
      <c r="E16" s="443">
        <f>IF('Business Loans'!$A$18=E97,'Business Loans'!$B$12,0)+IF('Business Loans'!$A$36=E97,'Business Loans'!$B$30,0)</f>
        <v>0</v>
      </c>
      <c r="F16" s="443">
        <f>IF('Business Loans'!$A$18=F97,'Business Loans'!$B$12,0)+IF('Business Loans'!$A$36=F97,'Business Loans'!$B$30,0)</f>
        <v>0</v>
      </c>
      <c r="G16" s="443">
        <f>IF('Business Loans'!$A$18=G97,'Business Loans'!$B$12,0)+IF('Business Loans'!$A$36=G97,'Business Loans'!$B$30,0)</f>
        <v>0</v>
      </c>
      <c r="H16" s="443">
        <f>IF('Business Loans'!$A$18=H97,'Business Loans'!$B$12,0)+IF('Business Loans'!$A$36=H97,'Business Loans'!$B$30,0)</f>
        <v>0</v>
      </c>
      <c r="I16" s="443">
        <f>IF('Business Loans'!$A$18=I97,'Business Loans'!$B$12,0)+IF('Business Loans'!$A$36=I97,'Business Loans'!$B$30,0)</f>
        <v>0</v>
      </c>
      <c r="J16" s="443">
        <f>IF('Business Loans'!$A$18=J97,'Business Loans'!$B$12,0)+IF('Business Loans'!$A$36=J97,'Business Loans'!$B$30,0)</f>
        <v>0</v>
      </c>
      <c r="K16" s="443">
        <f>IF('Business Loans'!$A$18=K97,'Business Loans'!$B$12,0)+IF('Business Loans'!$A$36=K97,'Business Loans'!$B$30,0)</f>
        <v>0</v>
      </c>
      <c r="L16" s="443">
        <f>IF('Business Loans'!$A$18=L97,'Business Loans'!$B$12,0)+IF('Business Loans'!$A$36=L97,'Business Loans'!$B$30,0)</f>
        <v>0</v>
      </c>
      <c r="M16" s="443">
        <f>IF('Business Loans'!$A$18=M97,'Business Loans'!$B$12,0)+IF('Business Loans'!$A$36=M97,'Business Loans'!$B$30,0)</f>
        <v>0</v>
      </c>
      <c r="N16" s="443">
        <f>IF('Business Loans'!$A$18=N97,'Business Loans'!$B$12,0)+IF('Business Loans'!$A$36=N97,'Business Loans'!$B$30,0)</f>
        <v>0</v>
      </c>
      <c r="O16" s="445">
        <f>SUM(C16:N16)</f>
        <v>0</v>
      </c>
      <c r="R16" s="235"/>
    </row>
    <row r="17" spans="1:19" ht="32.25" customHeight="1" thickBot="1">
      <c r="A17" s="444"/>
      <c r="B17" s="239" t="s">
        <v>259</v>
      </c>
      <c r="C17" s="443"/>
      <c r="D17" s="443"/>
      <c r="E17" s="443"/>
      <c r="F17" s="443"/>
      <c r="G17" s="443"/>
      <c r="H17" s="443"/>
      <c r="I17" s="443"/>
      <c r="J17" s="443"/>
      <c r="K17" s="443"/>
      <c r="L17" s="443"/>
      <c r="M17" s="443"/>
      <c r="N17" s="443"/>
      <c r="O17" s="445">
        <f>SUM(C17:N17)</f>
        <v>0</v>
      </c>
      <c r="R17" s="235"/>
    </row>
    <row r="18" spans="1:19" ht="21" customHeight="1" thickBot="1">
      <c r="A18" s="645" t="s">
        <v>68</v>
      </c>
      <c r="B18" s="645"/>
      <c r="C18" s="445" t="e">
        <f t="shared" ref="C18:O18" si="4">SUM(C12:C17)</f>
        <v>#VALUE!</v>
      </c>
      <c r="D18" s="445" t="e">
        <f t="shared" si="4"/>
        <v>#VALUE!</v>
      </c>
      <c r="E18" s="445" t="e">
        <f t="shared" si="4"/>
        <v>#VALUE!</v>
      </c>
      <c r="F18" s="445" t="e">
        <f t="shared" si="4"/>
        <v>#VALUE!</v>
      </c>
      <c r="G18" s="445" t="e">
        <f t="shared" si="4"/>
        <v>#VALUE!</v>
      </c>
      <c r="H18" s="445" t="e">
        <f t="shared" si="4"/>
        <v>#VALUE!</v>
      </c>
      <c r="I18" s="445" t="e">
        <f t="shared" si="4"/>
        <v>#VALUE!</v>
      </c>
      <c r="J18" s="445" t="e">
        <f t="shared" si="4"/>
        <v>#VALUE!</v>
      </c>
      <c r="K18" s="445" t="e">
        <f t="shared" si="4"/>
        <v>#VALUE!</v>
      </c>
      <c r="L18" s="445" t="e">
        <f t="shared" si="4"/>
        <v>#VALUE!</v>
      </c>
      <c r="M18" s="445" t="e">
        <f t="shared" si="4"/>
        <v>#VALUE!</v>
      </c>
      <c r="N18" s="445" t="e">
        <f t="shared" si="4"/>
        <v>#VALUE!</v>
      </c>
      <c r="O18" s="445" t="e">
        <f t="shared" si="4"/>
        <v>#VALUE!</v>
      </c>
      <c r="R18" s="235"/>
      <c r="S18" s="39"/>
    </row>
    <row r="19" spans="1:19">
      <c r="R19" s="235"/>
    </row>
    <row r="20" spans="1:19" ht="28.9" customHeight="1" thickBot="1">
      <c r="A20" s="526" t="s">
        <v>260</v>
      </c>
      <c r="B20" s="526"/>
      <c r="C20" s="526"/>
      <c r="D20" s="526"/>
      <c r="E20" s="526"/>
      <c r="F20" s="526"/>
      <c r="G20" s="526"/>
      <c r="H20" s="526"/>
      <c r="I20" s="526"/>
      <c r="J20" s="526"/>
      <c r="K20" s="526"/>
      <c r="L20" s="526"/>
      <c r="M20" s="526"/>
      <c r="N20" s="526"/>
      <c r="O20" s="526"/>
      <c r="R20" s="235"/>
    </row>
    <row r="21" spans="1:19" ht="21" customHeight="1" thickBot="1">
      <c r="A21" s="422" t="s">
        <v>261</v>
      </c>
      <c r="B21" s="222"/>
      <c r="C21" s="422" t="str">
        <f>'Tables and Calculations'!B2</f>
        <v>Jan</v>
      </c>
      <c r="D21" s="422" t="str">
        <f>'Tables and Calculations'!C2</f>
        <v>Feb</v>
      </c>
      <c r="E21" s="422" t="str">
        <f>'Tables and Calculations'!D2</f>
        <v>Mar</v>
      </c>
      <c r="F21" s="422" t="str">
        <f>'Tables and Calculations'!E2</f>
        <v>Apr</v>
      </c>
      <c r="G21" s="422" t="str">
        <f>'Tables and Calculations'!F2</f>
        <v>May</v>
      </c>
      <c r="H21" s="422" t="str">
        <f>'Tables and Calculations'!G2</f>
        <v>Jun</v>
      </c>
      <c r="I21" s="422" t="str">
        <f>'Tables and Calculations'!H2</f>
        <v>Jul</v>
      </c>
      <c r="J21" s="422" t="str">
        <f>'Tables and Calculations'!I2</f>
        <v>Aug</v>
      </c>
      <c r="K21" s="422" t="str">
        <f>'Tables and Calculations'!J2</f>
        <v>Sep</v>
      </c>
      <c r="L21" s="422" t="str">
        <f>'Tables and Calculations'!K2</f>
        <v>Oct</v>
      </c>
      <c r="M21" s="422" t="str">
        <f>'Tables and Calculations'!L2</f>
        <v>Nov</v>
      </c>
      <c r="N21" s="422" t="str">
        <f>'Tables and Calculations'!M2</f>
        <v>Dec</v>
      </c>
      <c r="O21" s="240" t="s">
        <v>60</v>
      </c>
      <c r="R21" s="235"/>
    </row>
    <row r="22" spans="1:19" ht="21" customHeight="1" thickBot="1">
      <c r="A22" s="444" t="s">
        <v>262</v>
      </c>
      <c r="B22" s="223"/>
      <c r="C22" s="443">
        <f>'Sales Forecast Year 1'!D74</f>
        <v>0</v>
      </c>
      <c r="D22" s="443">
        <f>'Sales Forecast Year 1'!E74</f>
        <v>0</v>
      </c>
      <c r="E22" s="443">
        <f>'Sales Forecast Year 1'!F74</f>
        <v>0</v>
      </c>
      <c r="F22" s="443">
        <f>'Sales Forecast Year 1'!G74</f>
        <v>0</v>
      </c>
      <c r="G22" s="443">
        <f>'Sales Forecast Year 1'!H74</f>
        <v>0</v>
      </c>
      <c r="H22" s="443">
        <f>'Sales Forecast Year 1'!I74</f>
        <v>0</v>
      </c>
      <c r="I22" s="443">
        <f>'Sales Forecast Year 1'!J74</f>
        <v>0</v>
      </c>
      <c r="J22" s="443">
        <f>'Sales Forecast Year 1'!K74</f>
        <v>0</v>
      </c>
      <c r="K22" s="443">
        <f>'Sales Forecast Year 1'!L74</f>
        <v>0</v>
      </c>
      <c r="L22" s="443">
        <f>'Sales Forecast Year 1'!M74</f>
        <v>0</v>
      </c>
      <c r="M22" s="443">
        <f>'Sales Forecast Year 1'!N74</f>
        <v>0</v>
      </c>
      <c r="N22" s="443">
        <f>'Sales Forecast Year 1'!O74</f>
        <v>0</v>
      </c>
      <c r="O22" s="445">
        <f>SUM(C22:N22)</f>
        <v>0</v>
      </c>
      <c r="R22" s="241">
        <f>(O22*'Tables and Calculations'!C7)</f>
        <v>0</v>
      </c>
    </row>
    <row r="23" spans="1:19" ht="21" customHeight="1" thickBot="1">
      <c r="A23" s="444"/>
      <c r="B23" s="223"/>
      <c r="C23" s="443"/>
      <c r="D23" s="443"/>
      <c r="E23" s="443"/>
      <c r="F23" s="443"/>
      <c r="G23" s="443"/>
      <c r="H23" s="443"/>
      <c r="I23" s="443"/>
      <c r="J23" s="443"/>
      <c r="K23" s="443"/>
      <c r="L23" s="443"/>
      <c r="M23" s="443"/>
      <c r="N23" s="443"/>
      <c r="O23" s="445">
        <f t="shared" ref="O23:O24" si="5">SUM(C23:N23)</f>
        <v>0</v>
      </c>
      <c r="R23" s="241">
        <f>(O23*'Tables and Calculations'!C7)</f>
        <v>0</v>
      </c>
    </row>
    <row r="24" spans="1:19" ht="21" customHeight="1" thickBot="1">
      <c r="A24" s="444"/>
      <c r="B24" s="223"/>
      <c r="C24" s="443"/>
      <c r="D24" s="443"/>
      <c r="E24" s="443"/>
      <c r="F24" s="443"/>
      <c r="G24" s="443"/>
      <c r="H24" s="443"/>
      <c r="I24" s="443"/>
      <c r="J24" s="443"/>
      <c r="K24" s="443"/>
      <c r="L24" s="443"/>
      <c r="M24" s="443"/>
      <c r="N24" s="443"/>
      <c r="O24" s="445">
        <f t="shared" si="5"/>
        <v>0</v>
      </c>
      <c r="R24" s="241">
        <f>(O24*'Tables and Calculations'!C7)</f>
        <v>0</v>
      </c>
    </row>
    <row r="25" spans="1:19" ht="21" customHeight="1" thickBot="1">
      <c r="A25" s="685" t="s">
        <v>263</v>
      </c>
      <c r="B25" s="685"/>
      <c r="C25" s="445">
        <f>SUM(C21:C24)</f>
        <v>0</v>
      </c>
      <c r="D25" s="445">
        <f t="shared" ref="D25:N25" si="6">SUM(D21:D24)</f>
        <v>0</v>
      </c>
      <c r="E25" s="445">
        <f t="shared" si="6"/>
        <v>0</v>
      </c>
      <c r="F25" s="445">
        <f t="shared" si="6"/>
        <v>0</v>
      </c>
      <c r="G25" s="445">
        <f t="shared" si="6"/>
        <v>0</v>
      </c>
      <c r="H25" s="445">
        <f t="shared" si="6"/>
        <v>0</v>
      </c>
      <c r="I25" s="445">
        <f t="shared" si="6"/>
        <v>0</v>
      </c>
      <c r="J25" s="445">
        <f t="shared" si="6"/>
        <v>0</v>
      </c>
      <c r="K25" s="445">
        <f t="shared" si="6"/>
        <v>0</v>
      </c>
      <c r="L25" s="445">
        <f t="shared" si="6"/>
        <v>0</v>
      </c>
      <c r="M25" s="445">
        <f t="shared" si="6"/>
        <v>0</v>
      </c>
      <c r="N25" s="445">
        <f t="shared" si="6"/>
        <v>0</v>
      </c>
      <c r="O25" s="445">
        <f>SUM(O22:O24)</f>
        <v>0</v>
      </c>
      <c r="R25" s="235"/>
      <c r="S25" s="39"/>
    </row>
    <row r="26" spans="1:19" ht="21" customHeight="1" thickBot="1">
      <c r="A26" s="422" t="s">
        <v>264</v>
      </c>
      <c r="B26" s="222"/>
      <c r="C26" s="242"/>
      <c r="D26" s="242"/>
      <c r="E26" s="242"/>
      <c r="F26" s="242"/>
      <c r="G26" s="242"/>
      <c r="H26" s="242"/>
      <c r="I26" s="242"/>
      <c r="J26" s="242"/>
      <c r="K26" s="242"/>
      <c r="L26" s="242"/>
      <c r="M26" s="242"/>
      <c r="N26" s="242"/>
      <c r="O26" s="243"/>
      <c r="R26" s="235"/>
    </row>
    <row r="27" spans="1:19" ht="21" customHeight="1" thickBot="1">
      <c r="A27" s="498" t="s">
        <v>265</v>
      </c>
      <c r="B27" s="223"/>
      <c r="C27" s="443">
        <f>'Marketing Action Plan Year 1'!C40</f>
        <v>0</v>
      </c>
      <c r="D27" s="443">
        <f>'Marketing Action Plan Year 1'!D40</f>
        <v>0</v>
      </c>
      <c r="E27" s="443">
        <f>'Marketing Action Plan Year 1'!E40</f>
        <v>0</v>
      </c>
      <c r="F27" s="443">
        <f>'Marketing Action Plan Year 1'!F40</f>
        <v>0</v>
      </c>
      <c r="G27" s="443">
        <f>'Marketing Action Plan Year 1'!G40</f>
        <v>0</v>
      </c>
      <c r="H27" s="443">
        <f>'Marketing Action Plan Year 1'!H40</f>
        <v>0</v>
      </c>
      <c r="I27" s="443">
        <f>'Marketing Action Plan Year 1'!I40</f>
        <v>0</v>
      </c>
      <c r="J27" s="443">
        <f>'Marketing Action Plan Year 1'!J40</f>
        <v>0</v>
      </c>
      <c r="K27" s="443">
        <f>'Marketing Action Plan Year 1'!K40</f>
        <v>0</v>
      </c>
      <c r="L27" s="443">
        <f>'Marketing Action Plan Year 1'!L40</f>
        <v>0</v>
      </c>
      <c r="M27" s="443">
        <f>'Marketing Action Plan Year 1'!M40</f>
        <v>0</v>
      </c>
      <c r="N27" s="443">
        <f>'Marketing Action Plan Year 1'!N40</f>
        <v>0</v>
      </c>
      <c r="O27" s="445">
        <f>SUM(C27:N27)</f>
        <v>0</v>
      </c>
      <c r="R27" s="244">
        <f>(O27*'Tables and Calculations'!C7)</f>
        <v>0</v>
      </c>
    </row>
    <row r="28" spans="1:19" ht="21" customHeight="1" thickBot="1">
      <c r="A28" s="444" t="s">
        <v>266</v>
      </c>
      <c r="B28" s="245"/>
      <c r="C28" s="443"/>
      <c r="D28" s="443"/>
      <c r="E28" s="443"/>
      <c r="F28" s="443"/>
      <c r="G28" s="443"/>
      <c r="H28" s="443"/>
      <c r="I28" s="443"/>
      <c r="J28" s="443"/>
      <c r="K28" s="443"/>
      <c r="L28" s="443"/>
      <c r="M28" s="443"/>
      <c r="N28" s="443"/>
      <c r="O28" s="445">
        <f t="shared" ref="O28:O52" si="7">SUM(C28:N28)</f>
        <v>0</v>
      </c>
      <c r="R28" s="244">
        <f>(O28*'Tables and Calculations'!C7)</f>
        <v>0</v>
      </c>
    </row>
    <row r="29" spans="1:19" ht="21" customHeight="1" thickBot="1">
      <c r="A29" s="444" t="s">
        <v>267</v>
      </c>
      <c r="B29" s="245"/>
      <c r="C29" s="443"/>
      <c r="D29" s="443"/>
      <c r="E29" s="443"/>
      <c r="F29" s="443"/>
      <c r="G29" s="443"/>
      <c r="H29" s="443"/>
      <c r="I29" s="443"/>
      <c r="J29" s="443"/>
      <c r="K29" s="443"/>
      <c r="L29" s="443"/>
      <c r="M29" s="443"/>
      <c r="N29" s="443"/>
      <c r="O29" s="445">
        <f t="shared" si="7"/>
        <v>0</v>
      </c>
      <c r="R29" s="244">
        <f>(O29*'Tables and Calculations'!C7)</f>
        <v>0</v>
      </c>
    </row>
    <row r="30" spans="1:19" ht="21" customHeight="1" thickBot="1">
      <c r="A30" s="444" t="s">
        <v>268</v>
      </c>
      <c r="B30" s="245"/>
      <c r="C30" s="443"/>
      <c r="D30" s="443"/>
      <c r="E30" s="443"/>
      <c r="F30" s="443"/>
      <c r="G30" s="443"/>
      <c r="H30" s="443"/>
      <c r="I30" s="443"/>
      <c r="J30" s="443"/>
      <c r="K30" s="443"/>
      <c r="L30" s="443"/>
      <c r="M30" s="443"/>
      <c r="N30" s="443"/>
      <c r="O30" s="445">
        <f t="shared" si="7"/>
        <v>0</v>
      </c>
      <c r="R30" s="244">
        <f>(O30*'Tables and Calculations'!C7)</f>
        <v>0</v>
      </c>
    </row>
    <row r="31" spans="1:19" ht="21" customHeight="1" thickBot="1">
      <c r="A31" s="444" t="s">
        <v>269</v>
      </c>
      <c r="B31" s="245"/>
      <c r="C31" s="443"/>
      <c r="D31" s="443"/>
      <c r="E31" s="443"/>
      <c r="F31" s="443"/>
      <c r="G31" s="443"/>
      <c r="H31" s="443"/>
      <c r="I31" s="443"/>
      <c r="J31" s="443"/>
      <c r="K31" s="443"/>
      <c r="L31" s="443"/>
      <c r="M31" s="443"/>
      <c r="N31" s="443"/>
      <c r="O31" s="445">
        <f t="shared" si="7"/>
        <v>0</v>
      </c>
      <c r="R31" s="244">
        <f>(O31*'Tables and Calculations'!C7)</f>
        <v>0</v>
      </c>
    </row>
    <row r="32" spans="1:19" ht="21" customHeight="1" thickBot="1">
      <c r="A32" s="444" t="s">
        <v>270</v>
      </c>
      <c r="B32" s="245"/>
      <c r="C32" s="443"/>
      <c r="D32" s="443"/>
      <c r="E32" s="443"/>
      <c r="F32" s="443"/>
      <c r="G32" s="443"/>
      <c r="H32" s="443"/>
      <c r="I32" s="443"/>
      <c r="J32" s="443"/>
      <c r="K32" s="443"/>
      <c r="L32" s="443"/>
      <c r="M32" s="443"/>
      <c r="N32" s="443"/>
      <c r="O32" s="445">
        <f t="shared" si="7"/>
        <v>0</v>
      </c>
      <c r="R32" s="244">
        <f>(O32*'Tables and Calculations'!C7)</f>
        <v>0</v>
      </c>
    </row>
    <row r="33" spans="1:23" ht="21" customHeight="1" thickBot="1">
      <c r="A33" s="444" t="s">
        <v>271</v>
      </c>
      <c r="B33" s="245"/>
      <c r="C33" s="443"/>
      <c r="D33" s="443"/>
      <c r="E33" s="443"/>
      <c r="F33" s="443"/>
      <c r="G33" s="443"/>
      <c r="H33" s="443"/>
      <c r="I33" s="443"/>
      <c r="J33" s="443"/>
      <c r="K33" s="443"/>
      <c r="L33" s="443"/>
      <c r="M33" s="443"/>
      <c r="N33" s="443"/>
      <c r="O33" s="445">
        <f t="shared" si="7"/>
        <v>0</v>
      </c>
      <c r="R33" s="244">
        <f>(O33*'Tables and Calculations'!C7)</f>
        <v>0</v>
      </c>
    </row>
    <row r="34" spans="1:23" ht="21" customHeight="1" thickBot="1">
      <c r="A34" s="499" t="s">
        <v>272</v>
      </c>
      <c r="B34" s="245"/>
      <c r="C34" s="443"/>
      <c r="D34" s="443"/>
      <c r="E34" s="443"/>
      <c r="F34" s="443"/>
      <c r="G34" s="443"/>
      <c r="H34" s="443"/>
      <c r="I34" s="443"/>
      <c r="J34" s="443"/>
      <c r="K34" s="443"/>
      <c r="L34" s="443"/>
      <c r="M34" s="443"/>
      <c r="N34" s="443"/>
      <c r="O34" s="445">
        <f t="shared" si="7"/>
        <v>0</v>
      </c>
      <c r="R34" s="244">
        <f>(O34*'Tables and Calculations'!C7)</f>
        <v>0</v>
      </c>
    </row>
    <row r="35" spans="1:23" ht="59.25" customHeight="1" thickBot="1">
      <c r="A35" s="499" t="s">
        <v>462</v>
      </c>
      <c r="B35" s="245"/>
      <c r="C35" s="443"/>
      <c r="D35" s="443"/>
      <c r="E35" s="443"/>
      <c r="F35" s="443"/>
      <c r="G35" s="443"/>
      <c r="H35" s="443"/>
      <c r="I35" s="443"/>
      <c r="J35" s="443"/>
      <c r="K35" s="443"/>
      <c r="L35" s="443"/>
      <c r="M35" s="443"/>
      <c r="N35" s="443"/>
      <c r="O35" s="445">
        <f t="shared" si="7"/>
        <v>0</v>
      </c>
      <c r="R35" s="244">
        <f>(O35*'Tables and Calculations'!C7)</f>
        <v>0</v>
      </c>
    </row>
    <row r="36" spans="1:23" ht="21" customHeight="1" thickBot="1">
      <c r="A36" s="499" t="s">
        <v>273</v>
      </c>
      <c r="B36" s="245"/>
      <c r="C36" s="443"/>
      <c r="D36" s="443"/>
      <c r="E36" s="443"/>
      <c r="F36" s="443"/>
      <c r="G36" s="443"/>
      <c r="H36" s="443"/>
      <c r="I36" s="443"/>
      <c r="J36" s="443"/>
      <c r="K36" s="443"/>
      <c r="L36" s="443"/>
      <c r="M36" s="443"/>
      <c r="N36" s="443"/>
      <c r="O36" s="445">
        <f t="shared" si="7"/>
        <v>0</v>
      </c>
      <c r="R36" s="244">
        <f>(O36*'Tables and Calculations'!C7)</f>
        <v>0</v>
      </c>
    </row>
    <row r="37" spans="1:23" ht="21" customHeight="1" thickBot="1">
      <c r="A37" s="499" t="s">
        <v>274</v>
      </c>
      <c r="B37" s="245"/>
      <c r="C37" s="443"/>
      <c r="D37" s="443"/>
      <c r="E37" s="443"/>
      <c r="F37" s="443"/>
      <c r="G37" s="443"/>
      <c r="H37" s="443"/>
      <c r="I37" s="443"/>
      <c r="J37" s="443"/>
      <c r="K37" s="443"/>
      <c r="L37" s="443"/>
      <c r="M37" s="443"/>
      <c r="N37" s="443"/>
      <c r="O37" s="445">
        <f t="shared" si="7"/>
        <v>0</v>
      </c>
      <c r="R37" s="244">
        <f>(O37*'Tables and Calculations'!C7)</f>
        <v>0</v>
      </c>
    </row>
    <row r="38" spans="1:23" ht="21" customHeight="1" thickBot="1">
      <c r="A38" s="499" t="s">
        <v>275</v>
      </c>
      <c r="B38" s="245"/>
      <c r="C38" s="443"/>
      <c r="D38" s="443"/>
      <c r="E38" s="443"/>
      <c r="F38" s="443"/>
      <c r="G38" s="443"/>
      <c r="H38" s="443"/>
      <c r="I38" s="443"/>
      <c r="J38" s="443"/>
      <c r="K38" s="443"/>
      <c r="L38" s="443"/>
      <c r="M38" s="443"/>
      <c r="N38" s="443"/>
      <c r="O38" s="445">
        <f>SUM(C38:N38)</f>
        <v>0</v>
      </c>
      <c r="R38" s="244">
        <f>(O38*'Tables and Calculations'!C7)</f>
        <v>0</v>
      </c>
    </row>
    <row r="39" spans="1:23" ht="21" customHeight="1" thickBot="1">
      <c r="A39" s="499" t="s">
        <v>276</v>
      </c>
      <c r="B39" s="245"/>
      <c r="C39" s="443"/>
      <c r="D39" s="443"/>
      <c r="E39" s="443"/>
      <c r="F39" s="443"/>
      <c r="G39" s="443"/>
      <c r="H39" s="443"/>
      <c r="I39" s="443"/>
      <c r="J39" s="443"/>
      <c r="K39" s="443"/>
      <c r="L39" s="443"/>
      <c r="M39" s="443"/>
      <c r="N39" s="443"/>
      <c r="O39" s="445">
        <f t="shared" si="7"/>
        <v>0</v>
      </c>
      <c r="R39" s="244">
        <f>(O39*'Tables and Calculations'!C7)</f>
        <v>0</v>
      </c>
    </row>
    <row r="40" spans="1:23" ht="21" customHeight="1" thickBot="1">
      <c r="A40" s="499" t="s">
        <v>277</v>
      </c>
      <c r="B40" s="245"/>
      <c r="C40" s="443"/>
      <c r="D40" s="443"/>
      <c r="E40" s="443"/>
      <c r="F40" s="443"/>
      <c r="G40" s="443"/>
      <c r="H40" s="443"/>
      <c r="I40" s="443"/>
      <c r="J40" s="443"/>
      <c r="K40" s="443"/>
      <c r="L40" s="443"/>
      <c r="M40" s="443"/>
      <c r="N40" s="443"/>
      <c r="O40" s="445">
        <f t="shared" si="7"/>
        <v>0</v>
      </c>
      <c r="R40" s="244">
        <f>(O40*'Tables and Calculations'!C7)</f>
        <v>0</v>
      </c>
    </row>
    <row r="41" spans="1:23" ht="21" customHeight="1" thickBot="1">
      <c r="A41" s="499" t="s">
        <v>278</v>
      </c>
      <c r="B41" s="245"/>
      <c r="C41" s="443"/>
      <c r="D41" s="443"/>
      <c r="E41" s="443"/>
      <c r="F41" s="443"/>
      <c r="G41" s="443"/>
      <c r="H41" s="443"/>
      <c r="I41" s="443"/>
      <c r="J41" s="443"/>
      <c r="K41" s="443"/>
      <c r="L41" s="443"/>
      <c r="M41" s="443"/>
      <c r="N41" s="443"/>
      <c r="O41" s="445">
        <f t="shared" si="7"/>
        <v>0</v>
      </c>
      <c r="R41" s="244">
        <f>(O41*'Tables and Calculations'!C7)</f>
        <v>0</v>
      </c>
    </row>
    <row r="42" spans="1:23" ht="21" customHeight="1" thickBot="1">
      <c r="A42" s="499" t="s">
        <v>279</v>
      </c>
      <c r="B42" s="245"/>
      <c r="C42" s="443"/>
      <c r="D42" s="443"/>
      <c r="E42" s="443"/>
      <c r="F42" s="443"/>
      <c r="G42" s="443"/>
      <c r="H42" s="443"/>
      <c r="I42" s="443"/>
      <c r="J42" s="443"/>
      <c r="K42" s="443"/>
      <c r="L42" s="443"/>
      <c r="M42" s="443"/>
      <c r="N42" s="443"/>
      <c r="O42" s="445">
        <f t="shared" si="7"/>
        <v>0</v>
      </c>
      <c r="R42" s="244">
        <f>(O42*'Tables and Calculations'!C7)</f>
        <v>0</v>
      </c>
    </row>
    <row r="43" spans="1:23" ht="21" customHeight="1" thickBot="1">
      <c r="A43" s="499" t="s">
        <v>88</v>
      </c>
      <c r="B43" s="245"/>
      <c r="C43" s="443"/>
      <c r="D43" s="443"/>
      <c r="E43" s="443"/>
      <c r="F43" s="443"/>
      <c r="G43" s="443"/>
      <c r="H43" s="443"/>
      <c r="I43" s="443"/>
      <c r="J43" s="443"/>
      <c r="K43" s="443"/>
      <c r="L43" s="443"/>
      <c r="M43" s="443"/>
      <c r="N43" s="443"/>
      <c r="O43" s="445">
        <f t="shared" si="7"/>
        <v>0</v>
      </c>
      <c r="R43" s="244">
        <f>(O43*'Tables and Calculations'!C7)</f>
        <v>0</v>
      </c>
    </row>
    <row r="44" spans="1:23" ht="21" customHeight="1" thickBot="1">
      <c r="A44" s="499" t="s">
        <v>280</v>
      </c>
      <c r="B44" s="245"/>
      <c r="C44" s="443"/>
      <c r="D44" s="443"/>
      <c r="E44" s="443"/>
      <c r="F44" s="443"/>
      <c r="G44" s="443"/>
      <c r="H44" s="443"/>
      <c r="I44" s="443"/>
      <c r="J44" s="443"/>
      <c r="K44" s="443"/>
      <c r="L44" s="443"/>
      <c r="M44" s="443"/>
      <c r="N44" s="443"/>
      <c r="O44" s="445">
        <f t="shared" si="7"/>
        <v>0</v>
      </c>
      <c r="R44" s="244">
        <f>(O44*'Tables and Calculations'!C7)</f>
        <v>0</v>
      </c>
      <c r="W44" s="246"/>
    </row>
    <row r="45" spans="1:23" ht="21" customHeight="1" thickBot="1">
      <c r="A45" s="499" t="s">
        <v>281</v>
      </c>
      <c r="B45" s="245"/>
      <c r="C45" s="443"/>
      <c r="D45" s="443"/>
      <c r="E45" s="443"/>
      <c r="F45" s="443"/>
      <c r="G45" s="443"/>
      <c r="H45" s="443"/>
      <c r="I45" s="443"/>
      <c r="J45" s="443"/>
      <c r="K45" s="443"/>
      <c r="L45" s="443"/>
      <c r="M45" s="443"/>
      <c r="N45" s="443"/>
      <c r="O45" s="445">
        <f t="shared" si="7"/>
        <v>0</v>
      </c>
      <c r="R45" s="244">
        <f>(O45*'Tables and Calculations'!C7)</f>
        <v>0</v>
      </c>
    </row>
    <row r="46" spans="1:23" ht="21" customHeight="1" thickBot="1">
      <c r="A46" s="499"/>
      <c r="B46" s="245"/>
      <c r="C46" s="443"/>
      <c r="D46" s="443"/>
      <c r="E46" s="443"/>
      <c r="F46" s="443"/>
      <c r="G46" s="443"/>
      <c r="H46" s="443"/>
      <c r="I46" s="443"/>
      <c r="J46" s="443"/>
      <c r="K46" s="443"/>
      <c r="L46" s="443"/>
      <c r="M46" s="443"/>
      <c r="N46" s="443"/>
      <c r="O46" s="445">
        <f t="shared" si="7"/>
        <v>0</v>
      </c>
      <c r="R46" s="244">
        <f>(O46*'Tables and Calculations'!C7)</f>
        <v>0</v>
      </c>
    </row>
    <row r="47" spans="1:23" ht="21" customHeight="1" thickBot="1">
      <c r="A47" s="500" t="s">
        <v>282</v>
      </c>
      <c r="B47" s="245"/>
      <c r="C47" s="247" t="e">
        <f>C12*'Sales Details'!M5/100*'Sales Details'!J5</f>
        <v>#VALUE!</v>
      </c>
      <c r="D47" s="247" t="e">
        <f>D12*'Sales Details'!M5/100*'Sales Details'!J5</f>
        <v>#VALUE!</v>
      </c>
      <c r="E47" s="247" t="e">
        <f>E12*'Sales Details'!M5/100*'Sales Details'!J5</f>
        <v>#VALUE!</v>
      </c>
      <c r="F47" s="247" t="e">
        <f>F12*'Sales Details'!M5/100*'Sales Details'!J5</f>
        <v>#VALUE!</v>
      </c>
      <c r="G47" s="247" t="e">
        <f>G12*'Sales Details'!M5/100*'Sales Details'!J5</f>
        <v>#VALUE!</v>
      </c>
      <c r="H47" s="247" t="e">
        <f>H12*'Sales Details'!M5/100*'Sales Details'!J5</f>
        <v>#VALUE!</v>
      </c>
      <c r="I47" s="247" t="e">
        <f>I12*'Sales Details'!M5/100*'Sales Details'!J5</f>
        <v>#VALUE!</v>
      </c>
      <c r="J47" s="247" t="e">
        <f>J12*'Sales Details'!M5/100*'Sales Details'!J5</f>
        <v>#VALUE!</v>
      </c>
      <c r="K47" s="247" t="e">
        <f>K12*'Sales Details'!M5/100*'Sales Details'!J5</f>
        <v>#VALUE!</v>
      </c>
      <c r="L47" s="247" t="e">
        <f>L12*'Sales Details'!M5/100*'Sales Details'!J5</f>
        <v>#VALUE!</v>
      </c>
      <c r="M47" s="247" t="e">
        <f>M12*'Sales Details'!M5/100*'Sales Details'!J5</f>
        <v>#VALUE!</v>
      </c>
      <c r="N47" s="248" t="e">
        <f>N12*'Sales Details'!M5/100*'Sales Details'!J5</f>
        <v>#VALUE!</v>
      </c>
      <c r="O47" s="445" t="e">
        <f t="shared" si="7"/>
        <v>#VALUE!</v>
      </c>
      <c r="R47" s="244" t="e">
        <f>(O47*'Tables and Calculations'!C7)</f>
        <v>#VALUE!</v>
      </c>
    </row>
    <row r="48" spans="1:23" ht="21" customHeight="1" thickBot="1">
      <c r="A48" s="499"/>
      <c r="B48" s="223"/>
      <c r="C48" s="443"/>
      <c r="D48" s="443"/>
      <c r="E48" s="443"/>
      <c r="F48" s="443"/>
      <c r="G48" s="443"/>
      <c r="H48" s="443"/>
      <c r="I48" s="443"/>
      <c r="J48" s="443"/>
      <c r="K48" s="443"/>
      <c r="L48" s="443"/>
      <c r="M48" s="443"/>
      <c r="N48" s="443"/>
      <c r="O48" s="445">
        <f t="shared" si="7"/>
        <v>0</v>
      </c>
      <c r="R48" s="244">
        <f>(O48*'Tables and Calculations'!C7)</f>
        <v>0</v>
      </c>
    </row>
    <row r="49" spans="1:23" ht="21" customHeight="1" thickBot="1">
      <c r="A49" s="499"/>
      <c r="B49" s="223"/>
      <c r="C49" s="443"/>
      <c r="D49" s="443"/>
      <c r="E49" s="443"/>
      <c r="F49" s="443"/>
      <c r="G49" s="443"/>
      <c r="H49" s="443"/>
      <c r="I49" s="443"/>
      <c r="J49" s="443"/>
      <c r="K49" s="443"/>
      <c r="L49" s="443"/>
      <c r="M49" s="443"/>
      <c r="N49" s="443"/>
      <c r="O49" s="445">
        <f t="shared" si="7"/>
        <v>0</v>
      </c>
      <c r="R49" s="244">
        <f>(O49*'Tables and Calculations'!C7)</f>
        <v>0</v>
      </c>
    </row>
    <row r="50" spans="1:23" ht="21" customHeight="1" thickBot="1">
      <c r="A50" s="499"/>
      <c r="B50" s="223"/>
      <c r="C50" s="443"/>
      <c r="D50" s="443"/>
      <c r="E50" s="443"/>
      <c r="F50" s="443"/>
      <c r="G50" s="443"/>
      <c r="H50" s="443"/>
      <c r="I50" s="443"/>
      <c r="J50" s="443"/>
      <c r="K50" s="443"/>
      <c r="L50" s="443"/>
      <c r="M50" s="443"/>
      <c r="N50" s="443"/>
      <c r="O50" s="445">
        <f t="shared" si="7"/>
        <v>0</v>
      </c>
      <c r="R50" s="244">
        <f>(O50*'Tables and Calculations'!C7)</f>
        <v>0</v>
      </c>
    </row>
    <row r="51" spans="1:23" ht="21" customHeight="1" thickBot="1">
      <c r="A51" s="499"/>
      <c r="B51" s="223"/>
      <c r="C51" s="443"/>
      <c r="D51" s="443"/>
      <c r="E51" s="443"/>
      <c r="F51" s="443"/>
      <c r="G51" s="443"/>
      <c r="H51" s="443"/>
      <c r="I51" s="443"/>
      <c r="J51" s="443"/>
      <c r="K51" s="443"/>
      <c r="L51" s="443"/>
      <c r="M51" s="443"/>
      <c r="N51" s="443"/>
      <c r="O51" s="445">
        <f t="shared" si="7"/>
        <v>0</v>
      </c>
      <c r="R51" s="244">
        <f>(O51*'Tables and Calculations'!C7)</f>
        <v>0</v>
      </c>
      <c r="T51" s="249"/>
      <c r="U51" s="249"/>
      <c r="V51" s="249"/>
      <c r="W51" s="249"/>
    </row>
    <row r="52" spans="1:23" ht="21" customHeight="1" thickBot="1">
      <c r="A52" s="499"/>
      <c r="B52" s="223"/>
      <c r="C52" s="443"/>
      <c r="D52" s="443"/>
      <c r="E52" s="443"/>
      <c r="F52" s="443"/>
      <c r="G52" s="443"/>
      <c r="H52" s="443"/>
      <c r="I52" s="443"/>
      <c r="J52" s="443"/>
      <c r="K52" s="443"/>
      <c r="L52" s="443"/>
      <c r="M52" s="443"/>
      <c r="N52" s="443"/>
      <c r="O52" s="445">
        <f t="shared" si="7"/>
        <v>0</v>
      </c>
      <c r="R52" s="244">
        <f>(O52*'Tables and Calculations'!C7)</f>
        <v>0</v>
      </c>
      <c r="S52" s="680" t="s">
        <v>283</v>
      </c>
      <c r="T52" s="680" t="s">
        <v>34</v>
      </c>
      <c r="U52" s="680" t="s">
        <v>100</v>
      </c>
      <c r="V52" s="680" t="s">
        <v>284</v>
      </c>
      <c r="W52" s="680" t="s">
        <v>102</v>
      </c>
    </row>
    <row r="53" spans="1:23" ht="30.75" customHeight="1" thickBot="1">
      <c r="A53" s="422" t="s">
        <v>285</v>
      </c>
      <c r="B53" s="250"/>
      <c r="C53" s="422" t="str">
        <f>'Tables and Calculations'!B2</f>
        <v>Jan</v>
      </c>
      <c r="D53" s="422" t="str">
        <f>'Tables and Calculations'!C2</f>
        <v>Feb</v>
      </c>
      <c r="E53" s="422" t="str">
        <f>'Tables and Calculations'!D2</f>
        <v>Mar</v>
      </c>
      <c r="F53" s="422" t="str">
        <f>'Tables and Calculations'!E2</f>
        <v>Apr</v>
      </c>
      <c r="G53" s="422" t="str">
        <f>'Tables and Calculations'!F2</f>
        <v>May</v>
      </c>
      <c r="H53" s="422" t="str">
        <f>'Tables and Calculations'!G2</f>
        <v>Jun</v>
      </c>
      <c r="I53" s="422" t="str">
        <f>'Tables and Calculations'!H2</f>
        <v>Jul</v>
      </c>
      <c r="J53" s="422" t="str">
        <f>'Tables and Calculations'!I2</f>
        <v>Aug</v>
      </c>
      <c r="K53" s="422" t="str">
        <f>'Tables and Calculations'!J2</f>
        <v>Sep</v>
      </c>
      <c r="L53" s="422" t="str">
        <f>'Tables and Calculations'!K2</f>
        <v>Oct</v>
      </c>
      <c r="M53" s="422" t="str">
        <f>'Tables and Calculations'!L2</f>
        <v>Nov</v>
      </c>
      <c r="N53" s="422" t="str">
        <f>'Tables and Calculations'!M2</f>
        <v>Dec</v>
      </c>
      <c r="O53" s="422" t="s">
        <v>60</v>
      </c>
      <c r="P53" s="422" t="s">
        <v>286</v>
      </c>
      <c r="Q53" s="422"/>
      <c r="R53" s="251"/>
      <c r="S53" s="681"/>
      <c r="T53" s="681"/>
      <c r="U53" s="681"/>
      <c r="V53" s="681"/>
      <c r="W53" s="681"/>
    </row>
    <row r="54" spans="1:23" ht="21" customHeight="1" thickBot="1">
      <c r="A54" s="496" t="s">
        <v>287</v>
      </c>
      <c r="B54" s="245"/>
      <c r="C54" s="443">
        <f t="shared" ref="C54:C57" si="8">IF(S54="Monthly",T54,IF(S54="Quarterly",U54,IF(S54="Bi-Annually",V54,IF(S54="Annually",W54))))</f>
        <v>0</v>
      </c>
      <c r="D54" s="443">
        <f t="shared" ref="D54:D57" si="9">IF(S54="Monthly",T54,IF(T54="Quarterly",0,IF(S54="Bi-Annually",0,IF(T54="Annually",0,))))</f>
        <v>0</v>
      </c>
      <c r="E54" s="443">
        <f t="shared" ref="E54:E57" si="10">IF(S54="Monthly",T54,IF(T54="Quarterly",0,IF(S54="Bi-Annually",0,IF(T54="Annually",0,))))</f>
        <v>0</v>
      </c>
      <c r="F54" s="443">
        <f t="shared" ref="F54:F57" si="11">IF(S54="Monthly",T54,IF(S54="Quarterly",U54,IF(S54="Bi-Annually",0,IF(S54="Annually",0))))</f>
        <v>0</v>
      </c>
      <c r="G54" s="443">
        <f t="shared" ref="G54:G57" si="12">IF(S54="Monthly",T54,IF(S54="Quarterly",0,IF(S54="Bi-Annually",0,IF(W54="Annually",0,))))</f>
        <v>0</v>
      </c>
      <c r="H54" s="443">
        <f t="shared" ref="H54:H57" si="13">IF(S54="Monthly",T54,IF(S54="Quarterly",0,IF(S54="Bi-Annually",0,IF(S54="Annually",0,))))</f>
        <v>0</v>
      </c>
      <c r="I54" s="443">
        <f t="shared" ref="I54:I57" si="14">IF(S54="Monthly",T54,IF(S54="Quarterly",T54,IF(S54="Bi-Annually",V54,IF(S54="Annually",0))))</f>
        <v>0</v>
      </c>
      <c r="J54" s="443">
        <f t="shared" ref="J54:J57" si="15">IF(S54="Monthly",T54,IF(S54="Quarterly",0,IF(S54="Bi-Annually",0,IF(S54="Annually",0,))))</f>
        <v>0</v>
      </c>
      <c r="K54" s="443">
        <f t="shared" ref="K54:K57" si="16">IF(S54="Monthly",T54,IF(S54="Quarterly",0,IF(S54="Bi-Annually",0,IF(S54="Annually",0,))))</f>
        <v>0</v>
      </c>
      <c r="L54" s="443">
        <f t="shared" ref="L54:L57" si="17">IF(S54="Monthly",T54,IF(S54="Quarterly",T54,IF(S54="Bi-Annually",0,IF(S54="Annually",0))))</f>
        <v>0</v>
      </c>
      <c r="M54" s="443">
        <f t="shared" ref="M54:M57" si="18">IF(S54="Monthly",T54,IF(S54="Quarterly",0,IF(S54="Bi-Annually",0,IF(S54="Annually",0,))))</f>
        <v>0</v>
      </c>
      <c r="N54" s="443">
        <f t="shared" ref="N54:N57" si="19">IF(S54="Monthly",T54,IF(S54="Quarterly",0,IF(S54="Bi-Annually",0,IF(S54="Annually",0,))))</f>
        <v>0</v>
      </c>
      <c r="O54" s="445">
        <f>SUM(C54:N54)</f>
        <v>0</v>
      </c>
      <c r="P54" s="481">
        <f>'Personal Cash Flow Budget Y1'!V44</f>
        <v>0</v>
      </c>
      <c r="Q54" s="252" t="str">
        <f>IF(P54=0,"There is no business cost for this expense ",IF(P54=(100%-'Personal Cash Flow Budget Y1'!Q44),"% share OK","error in % business allocation"))</f>
        <v xml:space="preserve">There is no business cost for this expense </v>
      </c>
      <c r="R54" s="253">
        <f>(O54*'Tables and Calculations'!C7)</f>
        <v>0</v>
      </c>
      <c r="S54" s="254" t="str">
        <f>'Personal Cash Flow Budget Y1'!P44</f>
        <v>Monthly</v>
      </c>
      <c r="T54" s="255">
        <f>'Personal Cash Flow Budget Y1'!W44</f>
        <v>0</v>
      </c>
      <c r="U54" s="255">
        <f>'Personal Cash Flow Budget Y1'!X44</f>
        <v>0</v>
      </c>
      <c r="V54" s="255">
        <f>'Personal Cash Flow Budget Y1'!Y44</f>
        <v>0</v>
      </c>
      <c r="W54" s="255">
        <f>'Personal Cash Flow Budget Y1'!Y44</f>
        <v>0</v>
      </c>
    </row>
    <row r="55" spans="1:23" ht="21" customHeight="1" thickBot="1">
      <c r="A55" s="496" t="s">
        <v>105</v>
      </c>
      <c r="B55" s="245"/>
      <c r="C55" s="443">
        <f t="shared" si="8"/>
        <v>0</v>
      </c>
      <c r="D55" s="443">
        <f t="shared" si="9"/>
        <v>0</v>
      </c>
      <c r="E55" s="443">
        <f t="shared" si="10"/>
        <v>0</v>
      </c>
      <c r="F55" s="443">
        <f t="shared" si="11"/>
        <v>0</v>
      </c>
      <c r="G55" s="443">
        <f t="shared" si="12"/>
        <v>0</v>
      </c>
      <c r="H55" s="443">
        <f t="shared" si="13"/>
        <v>0</v>
      </c>
      <c r="I55" s="443">
        <f t="shared" si="14"/>
        <v>0</v>
      </c>
      <c r="J55" s="443">
        <f t="shared" si="15"/>
        <v>0</v>
      </c>
      <c r="K55" s="443">
        <f t="shared" si="16"/>
        <v>0</v>
      </c>
      <c r="L55" s="443">
        <f t="shared" si="17"/>
        <v>0</v>
      </c>
      <c r="M55" s="443">
        <f t="shared" si="18"/>
        <v>0</v>
      </c>
      <c r="N55" s="443">
        <f t="shared" si="19"/>
        <v>0</v>
      </c>
      <c r="O55" s="445">
        <f t="shared" ref="O55:O73" si="20">SUM(C55:N55)</f>
        <v>0</v>
      </c>
      <c r="P55" s="481">
        <f>'Personal Cash Flow Budget Y1'!V45</f>
        <v>0</v>
      </c>
      <c r="Q55" s="256" t="str">
        <f>IF(P55=0,"There is no business cost for this expense ",IF(P55=(100%-'Personal Cash Flow Budget Y1'!Q45),"% share OK","error in % business allocation"))</f>
        <v xml:space="preserve">There is no business cost for this expense </v>
      </c>
      <c r="R55" s="253">
        <f>(O55*'Tables and Calculations'!C7)</f>
        <v>0</v>
      </c>
      <c r="S55" s="254" t="str">
        <f>'Personal Cash Flow Budget Y1'!P45</f>
        <v>Monthly</v>
      </c>
      <c r="T55" s="255">
        <f>'Personal Cash Flow Budget Y1'!W45</f>
        <v>0</v>
      </c>
      <c r="U55" s="255">
        <f>'Personal Cash Flow Budget Y1'!X45</f>
        <v>0</v>
      </c>
      <c r="V55" s="255">
        <f>'Personal Cash Flow Budget Y1'!Y45</f>
        <v>0</v>
      </c>
      <c r="W55" s="255">
        <f>'Personal Cash Flow Budget Y1'!Y45</f>
        <v>0</v>
      </c>
    </row>
    <row r="56" spans="1:23" ht="21" customHeight="1" thickBot="1">
      <c r="A56" s="496" t="s">
        <v>106</v>
      </c>
      <c r="B56" s="245"/>
      <c r="C56" s="443">
        <f t="shared" si="8"/>
        <v>0</v>
      </c>
      <c r="D56" s="443">
        <f t="shared" si="9"/>
        <v>0</v>
      </c>
      <c r="E56" s="443">
        <f t="shared" si="10"/>
        <v>0</v>
      </c>
      <c r="F56" s="443">
        <f t="shared" si="11"/>
        <v>0</v>
      </c>
      <c r="G56" s="443">
        <f t="shared" si="12"/>
        <v>0</v>
      </c>
      <c r="H56" s="443">
        <f t="shared" si="13"/>
        <v>0</v>
      </c>
      <c r="I56" s="443">
        <f t="shared" si="14"/>
        <v>0</v>
      </c>
      <c r="J56" s="443">
        <f t="shared" si="15"/>
        <v>0</v>
      </c>
      <c r="K56" s="443">
        <f t="shared" si="16"/>
        <v>0</v>
      </c>
      <c r="L56" s="443">
        <f t="shared" si="17"/>
        <v>0</v>
      </c>
      <c r="M56" s="443">
        <f t="shared" si="18"/>
        <v>0</v>
      </c>
      <c r="N56" s="443">
        <f t="shared" si="19"/>
        <v>0</v>
      </c>
      <c r="O56" s="445">
        <f t="shared" si="20"/>
        <v>0</v>
      </c>
      <c r="P56" s="481">
        <f>'Personal Cash Flow Budget Y1'!V46</f>
        <v>0</v>
      </c>
      <c r="Q56" s="256" t="str">
        <f>IF(P56=0,"There is no business cost for this expense ",IF(P56=(100%-'Personal Cash Flow Budget Y1'!Q46),"% share OK","error in % business allocation"))</f>
        <v xml:space="preserve">There is no business cost for this expense </v>
      </c>
      <c r="R56" s="253">
        <f>(O56*'Tables and Calculations'!C7)</f>
        <v>0</v>
      </c>
      <c r="S56" s="254" t="str">
        <f>'Personal Cash Flow Budget Y1'!P46</f>
        <v>Monthly</v>
      </c>
      <c r="T56" s="255">
        <f>'Personal Cash Flow Budget Y1'!W46</f>
        <v>0</v>
      </c>
      <c r="U56" s="255">
        <f>'Personal Cash Flow Budget Y1'!X46</f>
        <v>0</v>
      </c>
      <c r="V56" s="255">
        <f>'Personal Cash Flow Budget Y1'!Y46</f>
        <v>0</v>
      </c>
      <c r="W56" s="255">
        <f>'Personal Cash Flow Budget Y1'!Y46</f>
        <v>0</v>
      </c>
    </row>
    <row r="57" spans="1:23" ht="21" customHeight="1" thickBot="1">
      <c r="A57" s="496" t="s">
        <v>107</v>
      </c>
      <c r="B57" s="245"/>
      <c r="C57" s="443">
        <f t="shared" si="8"/>
        <v>0</v>
      </c>
      <c r="D57" s="443">
        <f t="shared" si="9"/>
        <v>0</v>
      </c>
      <c r="E57" s="443">
        <f t="shared" si="10"/>
        <v>0</v>
      </c>
      <c r="F57" s="443">
        <f t="shared" si="11"/>
        <v>0</v>
      </c>
      <c r="G57" s="443">
        <f t="shared" si="12"/>
        <v>0</v>
      </c>
      <c r="H57" s="443">
        <f t="shared" si="13"/>
        <v>0</v>
      </c>
      <c r="I57" s="443">
        <f t="shared" si="14"/>
        <v>0</v>
      </c>
      <c r="J57" s="443">
        <f t="shared" si="15"/>
        <v>0</v>
      </c>
      <c r="K57" s="443">
        <f t="shared" si="16"/>
        <v>0</v>
      </c>
      <c r="L57" s="443">
        <f t="shared" si="17"/>
        <v>0</v>
      </c>
      <c r="M57" s="443">
        <f t="shared" si="18"/>
        <v>0</v>
      </c>
      <c r="N57" s="443">
        <f t="shared" si="19"/>
        <v>0</v>
      </c>
      <c r="O57" s="445">
        <f t="shared" si="20"/>
        <v>0</v>
      </c>
      <c r="P57" s="481">
        <f>'Personal Cash Flow Budget Y1'!V47</f>
        <v>0</v>
      </c>
      <c r="Q57" s="256" t="str">
        <f>IF(P57=0,"There is no business cost for this expense ",IF(P57=(100%-'Personal Cash Flow Budget Y1'!Q47),"% share OK","error in % business allocation"))</f>
        <v xml:space="preserve">There is no business cost for this expense </v>
      </c>
      <c r="R57" s="253">
        <f>(O57*'Tables and Calculations'!C7)</f>
        <v>0</v>
      </c>
      <c r="S57" s="254" t="str">
        <f>'Personal Cash Flow Budget Y1'!P47</f>
        <v>Monthly</v>
      </c>
      <c r="T57" s="255">
        <f>'Personal Cash Flow Budget Y1'!W47</f>
        <v>0</v>
      </c>
      <c r="U57" s="255">
        <f>'Personal Cash Flow Budget Y1'!X47</f>
        <v>0</v>
      </c>
      <c r="V57" s="255">
        <f>'Personal Cash Flow Budget Y1'!Y47</f>
        <v>0</v>
      </c>
      <c r="W57" s="255">
        <f>'Personal Cash Flow Budget Y1'!Y47</f>
        <v>0</v>
      </c>
    </row>
    <row r="58" spans="1:23" ht="21" customHeight="1" thickBot="1">
      <c r="A58" s="496" t="s">
        <v>288</v>
      </c>
      <c r="B58" s="245"/>
      <c r="C58" s="443">
        <f>IF(S58="Monthly",T58,IF(S58="Quarterly",U58,IF(S58="Bi-Annually",V58,IF(S58="Annually",W58))))</f>
        <v>0</v>
      </c>
      <c r="D58" s="443">
        <f>IF(S58="Monthly",T58,IF(T58="Quarterly",0,IF(S58="Bi-Annually",0,IF(T58="Annually",0,))))</f>
        <v>0</v>
      </c>
      <c r="E58" s="443">
        <f>IF(S58="Monthly",T58,IF(T58="Quarterly",0,IF(S58="Bi-Annually",0,IF(T58="Annually",0,))))</f>
        <v>0</v>
      </c>
      <c r="F58" s="443">
        <f>IF(S58="Monthly",T58,IF(S58="Quarterly",U58,IF(S58="Bi-Annually",0,IF(S58="Annually",0))))</f>
        <v>0</v>
      </c>
      <c r="G58" s="443">
        <f>IF(S58="Monthly",T58,IF(S58="Quarterly",0,IF(S58="Bi-Annually",0,IF(W58="Annually",0,))))</f>
        <v>0</v>
      </c>
      <c r="H58" s="443">
        <f>IF(S58="Monthly",T58,IF(S58="Quarterly",0,IF(S58="Bi-Annually",0,IF(S58="Annually",0,))))</f>
        <v>0</v>
      </c>
      <c r="I58" s="443">
        <f>IF(S58="Monthly",T58,IF(S58="Quarterly",T58,IF(S58="Bi-Annually",V58,IF(S58="Annually",0))))</f>
        <v>0</v>
      </c>
      <c r="J58" s="443">
        <f>IF(S58="Monthly",T58,IF(S58="Quarterly",0,IF(S58="Bi-Annually",0,IF(S58="Annually",0,))))</f>
        <v>0</v>
      </c>
      <c r="K58" s="443">
        <f>IF(S58="Monthly",T58,IF(S58="Quarterly",0,IF(S58="Bi-Annually",0,IF(S58="Annually",0,))))</f>
        <v>0</v>
      </c>
      <c r="L58" s="443">
        <f>IF(S58="Monthly",T58,IF(S58="Quarterly",T58,IF(S58="Bi-Annually",0,IF(S58="Annually",0))))</f>
        <v>0</v>
      </c>
      <c r="M58" s="443">
        <f>IF(S58="Monthly",T58,IF(S58="Quarterly",0,IF(S58="Bi-Annually",0,IF(S58="Annually",0,))))</f>
        <v>0</v>
      </c>
      <c r="N58" s="443">
        <f>IF(S58="Monthly",T58,IF(S58="Quarterly",0,IF(S58="Bi-Annually",0,IF(S58="Annually",0,))))</f>
        <v>0</v>
      </c>
      <c r="O58" s="445">
        <f t="shared" si="20"/>
        <v>0</v>
      </c>
      <c r="P58" s="481">
        <f>'Personal Cash Flow Budget Y1'!V48</f>
        <v>0</v>
      </c>
      <c r="Q58" s="256" t="str">
        <f>IF(P58=0,"There is no business cost for this expense ",IF(P58=(100%-'Personal Cash Flow Budget Y1'!Q48),"% share OK","error in % business allocation"))</f>
        <v xml:space="preserve">There is no business cost for this expense </v>
      </c>
      <c r="R58" s="253">
        <f>(O58*'Tables and Calculations'!C7)</f>
        <v>0</v>
      </c>
      <c r="S58" s="254" t="str">
        <f>'Personal Cash Flow Budget Y1'!P48</f>
        <v>Monthly</v>
      </c>
      <c r="T58" s="255">
        <f>'Personal Cash Flow Budget Y1'!W48</f>
        <v>0</v>
      </c>
      <c r="U58" s="255">
        <f>'Personal Cash Flow Budget Y1'!X48</f>
        <v>0</v>
      </c>
      <c r="V58" s="255">
        <f>'Personal Cash Flow Budget Y1'!Y48</f>
        <v>0</v>
      </c>
      <c r="W58" s="255">
        <f>'Personal Cash Flow Budget Y1'!Y48</f>
        <v>0</v>
      </c>
    </row>
    <row r="59" spans="1:23" ht="21" customHeight="1" thickBot="1">
      <c r="A59" s="496" t="s">
        <v>109</v>
      </c>
      <c r="B59" s="245"/>
      <c r="C59" s="443">
        <f>IF(S59="Monthly",T59,IF(S59="Quarterly",U59,IF(S59="Bi-Annually",V59,IF(S59="Annually",W59))))</f>
        <v>0</v>
      </c>
      <c r="D59" s="443">
        <f>IF(S59="Monthly",T59,IF(T59="Quarterly",0,IF(S59="Bi-Annually",0,IF(T59="Annually",0,))))</f>
        <v>0</v>
      </c>
      <c r="E59" s="443">
        <f>IF(S59="Monthly",T59,IF(T59="Quarterly",0,IF(S59="Bi-Annually",0,IF(T59="Annually",0,))))</f>
        <v>0</v>
      </c>
      <c r="F59" s="443">
        <f>IF(S59="Monthly",T59,IF(S59="Quarterly",U59,IF(S59="Bi-Annually",0,IF(S59="Annually",0))))</f>
        <v>0</v>
      </c>
      <c r="G59" s="443">
        <f>IF(S59="Monthly",T59,IF(S59="Quarterly",0,IF(S59="Bi-Annually",0,IF(W59="Annually",0,))))</f>
        <v>0</v>
      </c>
      <c r="H59" s="443">
        <f>IF(S59="Monthly",T59,IF(S59="Quarterly",0,IF(S59="Bi-Annually",0,IF(S59="Annually",0,))))</f>
        <v>0</v>
      </c>
      <c r="I59" s="443">
        <f>IF(S59="Monthly",T59,IF(S59="Quarterly",T59,IF(S59="Bi-Annually",V59,IF(S59="Annually",0))))</f>
        <v>0</v>
      </c>
      <c r="J59" s="443">
        <f>IF(S59="Monthly",T59,IF(S59="Quarterly",0,IF(S59="Bi-Annually",0,IF(S59="Annually",0,))))</f>
        <v>0</v>
      </c>
      <c r="K59" s="443">
        <f>IF(S59="Monthly",T59,IF(S59="Quarterly",0,IF(S59="Bi-Annually",0,IF(S59="Annually",0,))))</f>
        <v>0</v>
      </c>
      <c r="L59" s="443">
        <f>IF(S59="Monthly",T59,IF(S59="Quarterly",T59,IF(S59="Bi-Annually",0,IF(S59="Annually",0))))</f>
        <v>0</v>
      </c>
      <c r="M59" s="443">
        <f>IF(S59="Monthly",T59,IF(S59="Quarterly",0,IF(S59="Bi-Annually",0,IF(S59="Annually",0,))))</f>
        <v>0</v>
      </c>
      <c r="N59" s="443">
        <f>IF(S59="Monthly",T59,IF(S59="Quarterly",0,IF(S59="Bi-Annually",0,IF(S59="Annually",0,))))</f>
        <v>0</v>
      </c>
      <c r="O59" s="445">
        <f t="shared" si="20"/>
        <v>0</v>
      </c>
      <c r="P59" s="481">
        <f>'Personal Cash Flow Budget Y1'!V49</f>
        <v>0</v>
      </c>
      <c r="Q59" s="256" t="str">
        <f>IF(P59=0,"There is no business cost for this expense ",IF(P59=(100%-'Personal Cash Flow Budget Y1'!Q49),"% share OK","error in % business allocation"))</f>
        <v xml:space="preserve">There is no business cost for this expense </v>
      </c>
      <c r="R59" s="253">
        <f>(O59*'Tables and Calculations'!C7)</f>
        <v>0</v>
      </c>
      <c r="S59" s="254" t="str">
        <f>'Personal Cash Flow Budget Y1'!P49</f>
        <v>Monthly</v>
      </c>
      <c r="T59" s="255">
        <f>'Personal Cash Flow Budget Y1'!W49</f>
        <v>0</v>
      </c>
      <c r="U59" s="255">
        <f>'Personal Cash Flow Budget Y1'!X49</f>
        <v>0</v>
      </c>
      <c r="V59" s="255">
        <f>'Personal Cash Flow Budget Y1'!Y49</f>
        <v>0</v>
      </c>
      <c r="W59" s="255">
        <f>'Personal Cash Flow Budget Y1'!Y49</f>
        <v>0</v>
      </c>
    </row>
    <row r="60" spans="1:23" ht="21" customHeight="1" thickBot="1">
      <c r="A60" s="496" t="s">
        <v>110</v>
      </c>
      <c r="B60" s="245"/>
      <c r="C60" s="443">
        <f t="shared" ref="C60:C67" si="21">IF(S60="Monthly",T60,IF(S60="Quarterly",U60,IF(S60="Bi-Annually",V60,IF(S60="Annually",W60))))</f>
        <v>0</v>
      </c>
      <c r="D60" s="443">
        <f t="shared" ref="D60:D67" si="22">IF(S60="Monthly",T60,IF(T60="Quarterly",0,IF(S60="Bi-Annually",0,IF(T60="Annually",0,))))</f>
        <v>0</v>
      </c>
      <c r="E60" s="443">
        <f t="shared" ref="E60:E67" si="23">IF(S60="Monthly",T60,IF(T60="Quarterly",0,IF(S60="Bi-Annually",0,IF(T60="Annually",0,))))</f>
        <v>0</v>
      </c>
      <c r="F60" s="443">
        <f t="shared" ref="F60:F67" si="24">IF(S60="Monthly",T60,IF(S60="Quarterly",U60,IF(S60="Bi-Annually",0,IF(S60="Annually",0))))</f>
        <v>0</v>
      </c>
      <c r="G60" s="443">
        <f t="shared" ref="G60:G67" si="25">IF(S60="Monthly",T60,IF(S60="Quarterly",0,IF(S60="Bi-Annually",0,IF(W60="Annually",0,))))</f>
        <v>0</v>
      </c>
      <c r="H60" s="443">
        <f t="shared" ref="H60:H67" si="26">IF(S60="Monthly",T60,IF(S60="Quarterly",0,IF(S60="Bi-Annually",0,IF(S60="Annually",0,))))</f>
        <v>0</v>
      </c>
      <c r="I60" s="443">
        <f t="shared" ref="I60:I67" si="27">IF(S60="Monthly",T60,IF(S60="Quarterly",T60,IF(S60="Bi-Annually",V60,IF(S60="Annually",0))))</f>
        <v>0</v>
      </c>
      <c r="J60" s="443">
        <f t="shared" ref="J60:J67" si="28">IF(S60="Monthly",T60,IF(S60="Quarterly",0,IF(S60="Bi-Annually",0,IF(S60="Annually",0,))))</f>
        <v>0</v>
      </c>
      <c r="K60" s="443">
        <f t="shared" ref="K60:K67" si="29">IF(S60="Monthly",T60,IF(S60="Quarterly",0,IF(S60="Bi-Annually",0,IF(S60="Annually",0,))))</f>
        <v>0</v>
      </c>
      <c r="L60" s="443">
        <f t="shared" ref="L60:L67" si="30">IF(S60="Monthly",T60,IF(S60="Quarterly",T60,IF(S60="Bi-Annually",0,IF(S60="Annually",0))))</f>
        <v>0</v>
      </c>
      <c r="M60" s="443">
        <f t="shared" ref="M60:M67" si="31">IF(S60="Monthly",T60,IF(S60="Quarterly",0,IF(S60="Bi-Annually",0,IF(S60="Annually",0,))))</f>
        <v>0</v>
      </c>
      <c r="N60" s="443">
        <f t="shared" ref="N60:N67" si="32">IF(S60="Monthly",T60,IF(S60="Quarterly",0,IF(S60="Bi-Annually",0,IF(S60="Annually",0,))))</f>
        <v>0</v>
      </c>
      <c r="O60" s="445">
        <f t="shared" si="20"/>
        <v>0</v>
      </c>
      <c r="P60" s="481">
        <f>'Personal Cash Flow Budget Y1'!V50</f>
        <v>0</v>
      </c>
      <c r="Q60" s="256" t="str">
        <f>IF(P60=0,"There is no business cost for this expense ",IF(P60=(100%-'Personal Cash Flow Budget Y1'!Q50),"% share OK","error in % business allocation"))</f>
        <v xml:space="preserve">There is no business cost for this expense </v>
      </c>
      <c r="R60" s="253">
        <f>(O60*'Tables and Calculations'!C7)</f>
        <v>0</v>
      </c>
      <c r="S60" s="254" t="str">
        <f>'Personal Cash Flow Budget Y1'!P50</f>
        <v>Monthly</v>
      </c>
      <c r="T60" s="255">
        <f>'Personal Cash Flow Budget Y1'!W50</f>
        <v>0</v>
      </c>
      <c r="U60" s="255">
        <f>'Personal Cash Flow Budget Y1'!X50</f>
        <v>0</v>
      </c>
      <c r="V60" s="255">
        <f>'Personal Cash Flow Budget Y1'!Y50</f>
        <v>0</v>
      </c>
      <c r="W60" s="255">
        <f>'Personal Cash Flow Budget Y1'!Y50</f>
        <v>0</v>
      </c>
    </row>
    <row r="61" spans="1:23" ht="21" customHeight="1" thickBot="1">
      <c r="A61" s="496" t="s">
        <v>289</v>
      </c>
      <c r="B61" s="245"/>
      <c r="C61" s="443">
        <f t="shared" si="21"/>
        <v>0</v>
      </c>
      <c r="D61" s="443">
        <f t="shared" si="22"/>
        <v>0</v>
      </c>
      <c r="E61" s="443">
        <f t="shared" si="23"/>
        <v>0</v>
      </c>
      <c r="F61" s="443">
        <f t="shared" si="24"/>
        <v>0</v>
      </c>
      <c r="G61" s="443">
        <f t="shared" si="25"/>
        <v>0</v>
      </c>
      <c r="H61" s="443">
        <f t="shared" si="26"/>
        <v>0</v>
      </c>
      <c r="I61" s="443">
        <f t="shared" si="27"/>
        <v>0</v>
      </c>
      <c r="J61" s="443">
        <f t="shared" si="28"/>
        <v>0</v>
      </c>
      <c r="K61" s="443">
        <f t="shared" si="29"/>
        <v>0</v>
      </c>
      <c r="L61" s="443">
        <f t="shared" si="30"/>
        <v>0</v>
      </c>
      <c r="M61" s="443">
        <f t="shared" si="31"/>
        <v>0</v>
      </c>
      <c r="N61" s="443">
        <f t="shared" si="32"/>
        <v>0</v>
      </c>
      <c r="O61" s="445">
        <f t="shared" si="20"/>
        <v>0</v>
      </c>
      <c r="P61" s="481">
        <f>'Personal Cash Flow Budget Y1'!V51</f>
        <v>0</v>
      </c>
      <c r="Q61" s="256" t="str">
        <f>IF(P61=0,"There is no business cost for this expense ",IF(P61=(100%-'Personal Cash Flow Budget Y1'!Q51),"% share OK","error in % business allocation"))</f>
        <v xml:space="preserve">There is no business cost for this expense </v>
      </c>
      <c r="R61" s="253">
        <f>(O61*'Tables and Calculations'!C7)</f>
        <v>0</v>
      </c>
      <c r="S61" s="254" t="str">
        <f>'Personal Cash Flow Budget Y1'!P51</f>
        <v>Monthly</v>
      </c>
      <c r="T61" s="255">
        <f>'Personal Cash Flow Budget Y1'!W51</f>
        <v>0</v>
      </c>
      <c r="U61" s="255">
        <f>'Personal Cash Flow Budget Y1'!X51</f>
        <v>0</v>
      </c>
      <c r="V61" s="255">
        <f>'Personal Cash Flow Budget Y1'!Y51</f>
        <v>0</v>
      </c>
      <c r="W61" s="255">
        <f>'Personal Cash Flow Budget Y1'!Y51</f>
        <v>0</v>
      </c>
    </row>
    <row r="62" spans="1:23" ht="21" customHeight="1" thickBot="1">
      <c r="A62" s="496" t="s">
        <v>112</v>
      </c>
      <c r="B62" s="245"/>
      <c r="C62" s="443">
        <f t="shared" si="21"/>
        <v>0</v>
      </c>
      <c r="D62" s="443">
        <f t="shared" si="22"/>
        <v>0</v>
      </c>
      <c r="E62" s="443">
        <f t="shared" si="23"/>
        <v>0</v>
      </c>
      <c r="F62" s="443">
        <f t="shared" si="24"/>
        <v>0</v>
      </c>
      <c r="G62" s="443">
        <f t="shared" si="25"/>
        <v>0</v>
      </c>
      <c r="H62" s="443">
        <f t="shared" si="26"/>
        <v>0</v>
      </c>
      <c r="I62" s="443">
        <f t="shared" si="27"/>
        <v>0</v>
      </c>
      <c r="J62" s="443">
        <f t="shared" si="28"/>
        <v>0</v>
      </c>
      <c r="K62" s="443">
        <f t="shared" si="29"/>
        <v>0</v>
      </c>
      <c r="L62" s="443">
        <f t="shared" si="30"/>
        <v>0</v>
      </c>
      <c r="M62" s="443">
        <f t="shared" si="31"/>
        <v>0</v>
      </c>
      <c r="N62" s="443">
        <f t="shared" si="32"/>
        <v>0</v>
      </c>
      <c r="O62" s="445">
        <f t="shared" si="20"/>
        <v>0</v>
      </c>
      <c r="P62" s="481">
        <f>'Personal Cash Flow Budget Y1'!V52</f>
        <v>0</v>
      </c>
      <c r="Q62" s="256" t="str">
        <f>IF(P62=0,"There is no business cost for this expense ",IF(P62=(100%-'Personal Cash Flow Budget Y1'!Q52),"% share OK","error in % business allocation"))</f>
        <v xml:space="preserve">There is no business cost for this expense </v>
      </c>
      <c r="R62" s="253">
        <f>(O62*'Tables and Calculations'!C7)</f>
        <v>0</v>
      </c>
      <c r="S62" s="254" t="str">
        <f>'Personal Cash Flow Budget Y1'!P52</f>
        <v>Monthly</v>
      </c>
      <c r="T62" s="255">
        <f>'Personal Cash Flow Budget Y1'!W52</f>
        <v>0</v>
      </c>
      <c r="U62" s="255">
        <f>'Personal Cash Flow Budget Y1'!X52</f>
        <v>0</v>
      </c>
      <c r="V62" s="255">
        <f>'Personal Cash Flow Budget Y1'!Y52</f>
        <v>0</v>
      </c>
      <c r="W62" s="255">
        <f>'Personal Cash Flow Budget Y1'!Y52</f>
        <v>0</v>
      </c>
    </row>
    <row r="63" spans="1:23" ht="21" customHeight="1" thickBot="1">
      <c r="A63" s="496" t="s">
        <v>290</v>
      </c>
      <c r="B63" s="245"/>
      <c r="C63" s="443">
        <f t="shared" si="21"/>
        <v>0</v>
      </c>
      <c r="D63" s="443">
        <f t="shared" si="22"/>
        <v>0</v>
      </c>
      <c r="E63" s="443">
        <f t="shared" si="23"/>
        <v>0</v>
      </c>
      <c r="F63" s="443">
        <f t="shared" si="24"/>
        <v>0</v>
      </c>
      <c r="G63" s="443">
        <f t="shared" si="25"/>
        <v>0</v>
      </c>
      <c r="H63" s="443">
        <f t="shared" si="26"/>
        <v>0</v>
      </c>
      <c r="I63" s="443">
        <f t="shared" si="27"/>
        <v>0</v>
      </c>
      <c r="J63" s="443">
        <f t="shared" si="28"/>
        <v>0</v>
      </c>
      <c r="K63" s="443">
        <f t="shared" si="29"/>
        <v>0</v>
      </c>
      <c r="L63" s="443">
        <f t="shared" si="30"/>
        <v>0</v>
      </c>
      <c r="M63" s="443">
        <f t="shared" si="31"/>
        <v>0</v>
      </c>
      <c r="N63" s="443">
        <f t="shared" si="32"/>
        <v>0</v>
      </c>
      <c r="O63" s="445">
        <f t="shared" si="20"/>
        <v>0</v>
      </c>
      <c r="P63" s="481">
        <f>'Personal Cash Flow Budget Y1'!V53</f>
        <v>0</v>
      </c>
      <c r="Q63" s="256" t="str">
        <f>IF(P63=0,"There is no business cost for this expense ",IF(P63=(100%-'Personal Cash Flow Budget Y1'!Q53),"% share OK","error in % business allocation"))</f>
        <v xml:space="preserve">There is no business cost for this expense </v>
      </c>
      <c r="R63" s="253">
        <f>(O63*'Tables and Calculations'!C7)</f>
        <v>0</v>
      </c>
      <c r="S63" s="254" t="str">
        <f>'Personal Cash Flow Budget Y1'!P53</f>
        <v>Monthly</v>
      </c>
      <c r="T63" s="255">
        <f>'Personal Cash Flow Budget Y1'!W53</f>
        <v>0</v>
      </c>
      <c r="U63" s="255">
        <f>'Personal Cash Flow Budget Y1'!X53</f>
        <v>0</v>
      </c>
      <c r="V63" s="255">
        <f>'Personal Cash Flow Budget Y1'!Y53</f>
        <v>0</v>
      </c>
      <c r="W63" s="255">
        <f>'Personal Cash Flow Budget Y1'!Y53</f>
        <v>0</v>
      </c>
    </row>
    <row r="64" spans="1:23" ht="21" customHeight="1" thickBot="1">
      <c r="A64" s="496" t="s">
        <v>114</v>
      </c>
      <c r="B64" s="245"/>
      <c r="C64" s="443">
        <f t="shared" si="21"/>
        <v>0</v>
      </c>
      <c r="D64" s="443">
        <f t="shared" si="22"/>
        <v>0</v>
      </c>
      <c r="E64" s="443">
        <f t="shared" si="23"/>
        <v>0</v>
      </c>
      <c r="F64" s="443">
        <f t="shared" si="24"/>
        <v>0</v>
      </c>
      <c r="G64" s="443">
        <f t="shared" si="25"/>
        <v>0</v>
      </c>
      <c r="H64" s="443">
        <f t="shared" si="26"/>
        <v>0</v>
      </c>
      <c r="I64" s="443">
        <f t="shared" si="27"/>
        <v>0</v>
      </c>
      <c r="J64" s="443">
        <f t="shared" si="28"/>
        <v>0</v>
      </c>
      <c r="K64" s="443">
        <f t="shared" si="29"/>
        <v>0</v>
      </c>
      <c r="L64" s="443">
        <f t="shared" si="30"/>
        <v>0</v>
      </c>
      <c r="M64" s="443">
        <f t="shared" si="31"/>
        <v>0</v>
      </c>
      <c r="N64" s="443">
        <f t="shared" si="32"/>
        <v>0</v>
      </c>
      <c r="O64" s="445">
        <f t="shared" si="20"/>
        <v>0</v>
      </c>
      <c r="P64" s="481">
        <f>'Personal Cash Flow Budget Y1'!V54</f>
        <v>0</v>
      </c>
      <c r="Q64" s="256" t="str">
        <f>IF(P64=0,"There is no business cost for this expense ",IF(P64=(100%-'Personal Cash Flow Budget Y1'!Q54),"% share OK","error in % business allocation"))</f>
        <v xml:space="preserve">There is no business cost for this expense </v>
      </c>
      <c r="R64" s="253">
        <f>(O64*'Tables and Calculations'!C7)</f>
        <v>0</v>
      </c>
      <c r="S64" s="254" t="str">
        <f>'Personal Cash Flow Budget Y1'!P54</f>
        <v>Monthly</v>
      </c>
      <c r="T64" s="255">
        <f>'Personal Cash Flow Budget Y1'!W54</f>
        <v>0</v>
      </c>
      <c r="U64" s="255">
        <f>'Personal Cash Flow Budget Y1'!X54</f>
        <v>0</v>
      </c>
      <c r="V64" s="255">
        <f>'Personal Cash Flow Budget Y1'!Y54</f>
        <v>0</v>
      </c>
      <c r="W64" s="255">
        <f>'Personal Cash Flow Budget Y1'!Y54</f>
        <v>0</v>
      </c>
    </row>
    <row r="65" spans="1:23" ht="21" customHeight="1" thickBot="1">
      <c r="A65" s="496">
        <f>'Personal Cash Flow Budget Y1'!A55</f>
        <v>0</v>
      </c>
      <c r="B65" s="245"/>
      <c r="C65" s="443">
        <f t="shared" si="21"/>
        <v>0</v>
      </c>
      <c r="D65" s="443">
        <f t="shared" si="22"/>
        <v>0</v>
      </c>
      <c r="E65" s="443">
        <f t="shared" si="23"/>
        <v>0</v>
      </c>
      <c r="F65" s="443">
        <f t="shared" si="24"/>
        <v>0</v>
      </c>
      <c r="G65" s="443">
        <f t="shared" si="25"/>
        <v>0</v>
      </c>
      <c r="H65" s="443">
        <f t="shared" si="26"/>
        <v>0</v>
      </c>
      <c r="I65" s="443">
        <f t="shared" si="27"/>
        <v>0</v>
      </c>
      <c r="J65" s="443">
        <f t="shared" si="28"/>
        <v>0</v>
      </c>
      <c r="K65" s="443">
        <f t="shared" si="29"/>
        <v>0</v>
      </c>
      <c r="L65" s="443">
        <f t="shared" si="30"/>
        <v>0</v>
      </c>
      <c r="M65" s="443">
        <f t="shared" si="31"/>
        <v>0</v>
      </c>
      <c r="N65" s="443">
        <f t="shared" si="32"/>
        <v>0</v>
      </c>
      <c r="O65" s="445">
        <f t="shared" si="20"/>
        <v>0</v>
      </c>
      <c r="P65" s="481">
        <f>'Personal Cash Flow Budget Y1'!V55</f>
        <v>0</v>
      </c>
      <c r="Q65" s="256" t="str">
        <f>IF(P65=0,"There is no business cost for this expense ",IF(P65=(100%-'Personal Cash Flow Budget Y1'!Q55),"% share OK","error in % business allocation"))</f>
        <v xml:space="preserve">There is no business cost for this expense </v>
      </c>
      <c r="R65" s="253">
        <f>(O65*'Tables and Calculations'!C7)</f>
        <v>0</v>
      </c>
      <c r="S65" s="254" t="str">
        <f>'Personal Cash Flow Budget Y1'!P55</f>
        <v>Monthly</v>
      </c>
      <c r="T65" s="255">
        <f>'Personal Cash Flow Budget Y1'!W55</f>
        <v>0</v>
      </c>
      <c r="U65" s="255">
        <f>'Personal Cash Flow Budget Y1'!X55</f>
        <v>0</v>
      </c>
      <c r="V65" s="255">
        <f>'Personal Cash Flow Budget Y1'!Y55</f>
        <v>0</v>
      </c>
      <c r="W65" s="255">
        <f>'Personal Cash Flow Budget Y1'!Y55</f>
        <v>0</v>
      </c>
    </row>
    <row r="66" spans="1:23" ht="21" customHeight="1" thickBot="1">
      <c r="A66" s="496" t="str">
        <f>'Personal Cash Flow Budget Y1'!A56</f>
        <v>Total Cash Payments</v>
      </c>
      <c r="B66" s="245"/>
      <c r="C66" s="443" t="b">
        <f t="shared" si="21"/>
        <v>0</v>
      </c>
      <c r="D66" s="443">
        <f t="shared" si="22"/>
        <v>0</v>
      </c>
      <c r="E66" s="443">
        <f t="shared" si="23"/>
        <v>0</v>
      </c>
      <c r="F66" s="443" t="b">
        <f t="shared" si="24"/>
        <v>0</v>
      </c>
      <c r="G66" s="443">
        <f t="shared" si="25"/>
        <v>0</v>
      </c>
      <c r="H66" s="443">
        <f t="shared" si="26"/>
        <v>0</v>
      </c>
      <c r="I66" s="443" t="b">
        <f t="shared" si="27"/>
        <v>0</v>
      </c>
      <c r="J66" s="443">
        <f t="shared" si="28"/>
        <v>0</v>
      </c>
      <c r="K66" s="443">
        <f t="shared" si="29"/>
        <v>0</v>
      </c>
      <c r="L66" s="443" t="b">
        <f t="shared" si="30"/>
        <v>0</v>
      </c>
      <c r="M66" s="443">
        <f t="shared" si="31"/>
        <v>0</v>
      </c>
      <c r="N66" s="443">
        <f t="shared" si="32"/>
        <v>0</v>
      </c>
      <c r="O66" s="445">
        <f t="shared" si="20"/>
        <v>0</v>
      </c>
      <c r="P66" s="481">
        <f>'Personal Cash Flow Budget Y1'!V56</f>
        <v>0</v>
      </c>
      <c r="Q66" s="256" t="str">
        <f>IF(P66=0,"There is no business cost for this expense ",IF(P66=(100%-'Personal Cash Flow Budget Y1'!Q56),"% share OK","error in % business allocation"))</f>
        <v xml:space="preserve">There is no business cost for this expense </v>
      </c>
      <c r="R66" s="253">
        <f>(O66*'Tables and Calculations'!C7)</f>
        <v>0</v>
      </c>
      <c r="S66" s="254">
        <f>'Personal Cash Flow Budget Y1'!P56</f>
        <v>0</v>
      </c>
      <c r="T66" s="255">
        <f>'Personal Cash Flow Budget Y1'!W56</f>
        <v>0</v>
      </c>
      <c r="U66" s="255">
        <f>'Personal Cash Flow Budget Y1'!X56</f>
        <v>0</v>
      </c>
      <c r="V66" s="255">
        <f>'Personal Cash Flow Budget Y1'!Y56</f>
        <v>0</v>
      </c>
      <c r="W66" s="255">
        <f>'Personal Cash Flow Budget Y1'!Y56</f>
        <v>0</v>
      </c>
    </row>
    <row r="67" spans="1:23" ht="21" customHeight="1" thickBot="1">
      <c r="A67" s="496">
        <f>'Personal Cash Flow Budget Y1'!A57</f>
        <v>0</v>
      </c>
      <c r="B67" s="245"/>
      <c r="C67" s="443" t="b">
        <f t="shared" si="21"/>
        <v>0</v>
      </c>
      <c r="D67" s="443">
        <f t="shared" si="22"/>
        <v>0</v>
      </c>
      <c r="E67" s="443">
        <f t="shared" si="23"/>
        <v>0</v>
      </c>
      <c r="F67" s="443" t="b">
        <f t="shared" si="24"/>
        <v>0</v>
      </c>
      <c r="G67" s="443">
        <f t="shared" si="25"/>
        <v>0</v>
      </c>
      <c r="H67" s="443">
        <f t="shared" si="26"/>
        <v>0</v>
      </c>
      <c r="I67" s="443" t="b">
        <f t="shared" si="27"/>
        <v>0</v>
      </c>
      <c r="J67" s="443">
        <f t="shared" si="28"/>
        <v>0</v>
      </c>
      <c r="K67" s="443">
        <f t="shared" si="29"/>
        <v>0</v>
      </c>
      <c r="L67" s="443" t="b">
        <f t="shared" si="30"/>
        <v>0</v>
      </c>
      <c r="M67" s="443">
        <f t="shared" si="31"/>
        <v>0</v>
      </c>
      <c r="N67" s="443">
        <f t="shared" si="32"/>
        <v>0</v>
      </c>
      <c r="O67" s="445">
        <f t="shared" si="20"/>
        <v>0</v>
      </c>
      <c r="P67" s="481">
        <f>'Personal Cash Flow Budget Y1'!V57</f>
        <v>0</v>
      </c>
      <c r="Q67" s="257" t="str">
        <f>IF(P67=0,"There is no business cost for this expense ",IF(P67=(100%-'Personal Cash Flow Budget Y1'!Q57),"% share OK","error in % business allocation"))</f>
        <v xml:space="preserve">There is no business cost for this expense </v>
      </c>
      <c r="R67" s="253">
        <f>(O67*'Tables and Calculations'!C7)</f>
        <v>0</v>
      </c>
      <c r="S67" s="254">
        <f>'Personal Cash Flow Budget Y1'!P57</f>
        <v>0</v>
      </c>
      <c r="T67" s="255">
        <f>'Personal Cash Flow Budget Y1'!W57</f>
        <v>0</v>
      </c>
      <c r="U67" s="255">
        <f>'Personal Cash Flow Budget Y1'!X57</f>
        <v>0</v>
      </c>
      <c r="V67" s="255">
        <f>'Personal Cash Flow Budget Y1'!Y57</f>
        <v>0</v>
      </c>
      <c r="W67" s="255">
        <f>'Personal Cash Flow Budget Y1'!Y57</f>
        <v>0</v>
      </c>
    </row>
    <row r="68" spans="1:23" ht="21" customHeight="1" thickBot="1">
      <c r="A68" s="496" t="s">
        <v>291</v>
      </c>
      <c r="B68" s="502" t="s">
        <v>259</v>
      </c>
      <c r="C68" s="443"/>
      <c r="D68" s="443"/>
      <c r="E68" s="443"/>
      <c r="F68" s="443"/>
      <c r="G68" s="443"/>
      <c r="H68" s="443"/>
      <c r="I68" s="443"/>
      <c r="J68" s="443"/>
      <c r="K68" s="443"/>
      <c r="L68" s="443"/>
      <c r="M68" s="443"/>
      <c r="N68" s="443"/>
      <c r="O68" s="445">
        <f t="shared" si="20"/>
        <v>0</v>
      </c>
      <c r="P68" s="258"/>
      <c r="R68" s="235"/>
    </row>
    <row r="69" spans="1:23" ht="21" customHeight="1" thickBot="1">
      <c r="A69" s="496" t="s">
        <v>292</v>
      </c>
      <c r="B69" s="502" t="s">
        <v>259</v>
      </c>
      <c r="C69" s="443"/>
      <c r="D69" s="443"/>
      <c r="E69" s="443"/>
      <c r="F69" s="443"/>
      <c r="G69" s="443"/>
      <c r="H69" s="443"/>
      <c r="I69" s="443"/>
      <c r="J69" s="443"/>
      <c r="K69" s="443"/>
      <c r="L69" s="443"/>
      <c r="M69" s="443"/>
      <c r="N69" s="443"/>
      <c r="O69" s="445">
        <f t="shared" si="20"/>
        <v>0</v>
      </c>
      <c r="R69" s="235"/>
    </row>
    <row r="70" spans="1:23" ht="21" customHeight="1" thickBot="1">
      <c r="A70" s="496" t="s">
        <v>293</v>
      </c>
      <c r="B70" s="502" t="s">
        <v>259</v>
      </c>
      <c r="C70" s="443"/>
      <c r="D70" s="443"/>
      <c r="E70" s="443"/>
      <c r="F70" s="443"/>
      <c r="G70" s="443"/>
      <c r="H70" s="443"/>
      <c r="I70" s="443"/>
      <c r="J70" s="443"/>
      <c r="K70" s="443"/>
      <c r="L70" s="443"/>
      <c r="M70" s="443"/>
      <c r="N70" s="443"/>
      <c r="O70" s="445">
        <f t="shared" si="20"/>
        <v>0</v>
      </c>
      <c r="R70" s="235"/>
    </row>
    <row r="71" spans="1:23" ht="21" customHeight="1" thickBot="1">
      <c r="A71" s="496" t="s">
        <v>294</v>
      </c>
      <c r="B71" s="501">
        <v>0.105</v>
      </c>
      <c r="C71" s="443">
        <f>IF($B$71&gt;0,ROUND($B$71*(C69+C70),0)," ")</f>
        <v>0</v>
      </c>
      <c r="D71" s="443">
        <f t="shared" ref="D71:N71" si="33">IF($B$71&gt;0,ROUND($B$71*(D69+D70),0)," ")</f>
        <v>0</v>
      </c>
      <c r="E71" s="443">
        <f t="shared" si="33"/>
        <v>0</v>
      </c>
      <c r="F71" s="443">
        <f t="shared" si="33"/>
        <v>0</v>
      </c>
      <c r="G71" s="443">
        <f t="shared" si="33"/>
        <v>0</v>
      </c>
      <c r="H71" s="443">
        <f t="shared" si="33"/>
        <v>0</v>
      </c>
      <c r="I71" s="443">
        <f t="shared" si="33"/>
        <v>0</v>
      </c>
      <c r="J71" s="443">
        <f t="shared" si="33"/>
        <v>0</v>
      </c>
      <c r="K71" s="443">
        <f t="shared" si="33"/>
        <v>0</v>
      </c>
      <c r="L71" s="443">
        <f t="shared" si="33"/>
        <v>0</v>
      </c>
      <c r="M71" s="443">
        <f t="shared" si="33"/>
        <v>0</v>
      </c>
      <c r="N71" s="443">
        <f t="shared" si="33"/>
        <v>0</v>
      </c>
      <c r="O71" s="445">
        <f t="shared" si="20"/>
        <v>0</v>
      </c>
      <c r="R71" s="235"/>
    </row>
    <row r="72" spans="1:23" ht="21" customHeight="1" thickBot="1">
      <c r="A72" s="496"/>
      <c r="B72" s="502" t="s">
        <v>259</v>
      </c>
      <c r="C72" s="443"/>
      <c r="D72" s="443"/>
      <c r="E72" s="443"/>
      <c r="F72" s="443"/>
      <c r="G72" s="443"/>
      <c r="H72" s="443"/>
      <c r="I72" s="443"/>
      <c r="J72" s="443"/>
      <c r="K72" s="443"/>
      <c r="L72" s="443"/>
      <c r="M72" s="443"/>
      <c r="N72" s="443"/>
      <c r="O72" s="445">
        <f t="shared" si="20"/>
        <v>0</v>
      </c>
      <c r="R72" s="235"/>
    </row>
    <row r="73" spans="1:23" ht="21" customHeight="1" thickBot="1">
      <c r="A73" s="496"/>
      <c r="B73" s="502" t="s">
        <v>259</v>
      </c>
      <c r="C73" s="443"/>
      <c r="D73" s="443"/>
      <c r="E73" s="443"/>
      <c r="F73" s="443"/>
      <c r="G73" s="443"/>
      <c r="H73" s="443"/>
      <c r="I73" s="443"/>
      <c r="J73" s="443"/>
      <c r="K73" s="443"/>
      <c r="L73" s="443"/>
      <c r="M73" s="443"/>
      <c r="N73" s="443"/>
      <c r="O73" s="445">
        <f t="shared" si="20"/>
        <v>0</v>
      </c>
      <c r="R73" s="235"/>
      <c r="S73" s="39"/>
    </row>
    <row r="74" spans="1:23" ht="21" customHeight="1" thickBot="1">
      <c r="A74" s="674" t="s">
        <v>295</v>
      </c>
      <c r="B74" s="674"/>
      <c r="C74" s="445" t="e">
        <f>SUM(C27:C73)</f>
        <v>#VALUE!</v>
      </c>
      <c r="D74" s="445" t="e">
        <f t="shared" ref="D74:O74" si="34">SUM(D27:D73)</f>
        <v>#VALUE!</v>
      </c>
      <c r="E74" s="445" t="e">
        <f t="shared" si="34"/>
        <v>#VALUE!</v>
      </c>
      <c r="F74" s="445" t="e">
        <f t="shared" si="34"/>
        <v>#VALUE!</v>
      </c>
      <c r="G74" s="445" t="e">
        <f t="shared" si="34"/>
        <v>#VALUE!</v>
      </c>
      <c r="H74" s="445" t="e">
        <f t="shared" si="34"/>
        <v>#VALUE!</v>
      </c>
      <c r="I74" s="445" t="e">
        <f t="shared" si="34"/>
        <v>#VALUE!</v>
      </c>
      <c r="J74" s="445" t="e">
        <f t="shared" si="34"/>
        <v>#VALUE!</v>
      </c>
      <c r="K74" s="445" t="e">
        <f t="shared" si="34"/>
        <v>#VALUE!</v>
      </c>
      <c r="L74" s="445" t="e">
        <f t="shared" si="34"/>
        <v>#VALUE!</v>
      </c>
      <c r="M74" s="445" t="e">
        <f t="shared" si="34"/>
        <v>#VALUE!</v>
      </c>
      <c r="N74" s="445" t="e">
        <f t="shared" si="34"/>
        <v>#VALUE!</v>
      </c>
      <c r="O74" s="445" t="e">
        <f t="shared" si="34"/>
        <v>#VALUE!</v>
      </c>
      <c r="R74" s="235"/>
    </row>
    <row r="75" spans="1:23" ht="21" customHeight="1" thickBot="1">
      <c r="A75" s="678" t="s">
        <v>296</v>
      </c>
      <c r="B75" s="678"/>
      <c r="C75" s="678"/>
      <c r="D75" s="678"/>
      <c r="E75" s="678"/>
      <c r="F75" s="678"/>
      <c r="G75" s="678"/>
      <c r="H75" s="678"/>
      <c r="I75" s="678"/>
      <c r="J75" s="678"/>
      <c r="K75" s="678"/>
      <c r="L75" s="678"/>
      <c r="M75" s="678"/>
      <c r="N75" s="678"/>
      <c r="O75" s="678"/>
      <c r="P75" s="259" t="s">
        <v>297</v>
      </c>
      <c r="R75" s="235"/>
    </row>
    <row r="76" spans="1:23" ht="21" customHeight="1" thickBot="1">
      <c r="A76" s="444" t="s">
        <v>298</v>
      </c>
      <c r="B76" s="502" t="s">
        <v>259</v>
      </c>
      <c r="C76" s="260">
        <f>IF('Business Loans'!$A$18&lt;=C97,'Business Loans'!$H$14,0)</f>
        <v>0</v>
      </c>
      <c r="D76" s="260">
        <f>IF('Business Loans'!$A$18&lt;=D97,'Business Loans'!$H$14,0)</f>
        <v>0</v>
      </c>
      <c r="E76" s="260">
        <f>IF('Business Loans'!$A$18&lt;=E97,'Business Loans'!$H$14,0)</f>
        <v>0</v>
      </c>
      <c r="F76" s="260">
        <f>IF('Business Loans'!$A$18&lt;=F97,'Business Loans'!$H$14,0)</f>
        <v>0</v>
      </c>
      <c r="G76" s="260">
        <f>IF('Business Loans'!$A$18&lt;=G97,'Business Loans'!$H$14,0)</f>
        <v>0</v>
      </c>
      <c r="H76" s="260">
        <f>IF('Business Loans'!$A$18&lt;=H97,'Business Loans'!$H$14,0)</f>
        <v>0</v>
      </c>
      <c r="I76" s="260">
        <f>IF('Business Loans'!$A$18&lt;=I97,'Business Loans'!$H$14,0)</f>
        <v>0</v>
      </c>
      <c r="J76" s="260">
        <f>IF('Business Loans'!$A$18&lt;=J97,'Business Loans'!$H$14,0)</f>
        <v>0</v>
      </c>
      <c r="K76" s="260">
        <f>IF('Business Loans'!$A$18&lt;=K97,'Business Loans'!$H$14,0)</f>
        <v>0</v>
      </c>
      <c r="L76" s="260">
        <f>IF('Business Loans'!$A$18&lt;=L97,'Business Loans'!$H$14,0)</f>
        <v>0</v>
      </c>
      <c r="M76" s="260">
        <f>IF('Business Loans'!$A$18&lt;=M97,'Business Loans'!$H$14,0)</f>
        <v>0</v>
      </c>
      <c r="N76" s="260">
        <f>IF('Business Loans'!$A$18&lt;=N97,'Business Loans'!$H$14,0)</f>
        <v>0</v>
      </c>
      <c r="O76" s="445">
        <f>SUM(C76:N76)</f>
        <v>0</v>
      </c>
      <c r="P76" s="261">
        <f>SUM(O76-'Business Loans'!H15)</f>
        <v>0</v>
      </c>
      <c r="R76" s="235"/>
    </row>
    <row r="77" spans="1:23" ht="21" customHeight="1" thickBot="1">
      <c r="A77" s="444" t="s">
        <v>299</v>
      </c>
      <c r="B77" s="502" t="s">
        <v>259</v>
      </c>
      <c r="C77" s="260">
        <f>IF('Business Loans'!$A$36&lt;=C97,'Business Loans'!$H$31,0)</f>
        <v>0</v>
      </c>
      <c r="D77" s="260">
        <f>IF('Business Loans'!$A$36&lt;=D97,'Business Loans'!$H$31,0)</f>
        <v>0</v>
      </c>
      <c r="E77" s="260">
        <f>IF('Business Loans'!$A$36&lt;=E97,'Business Loans'!$H$31,0)</f>
        <v>0</v>
      </c>
      <c r="F77" s="260">
        <f>IF('Business Loans'!$A$36&lt;=F97,'Business Loans'!$H$31,0)</f>
        <v>0</v>
      </c>
      <c r="G77" s="260">
        <f>IF('Business Loans'!$A$36&lt;=G97,'Business Loans'!$H$31,0)</f>
        <v>0</v>
      </c>
      <c r="H77" s="260">
        <f>IF('Business Loans'!$A$36&lt;=H97,'Business Loans'!$H$31,0)</f>
        <v>0</v>
      </c>
      <c r="I77" s="260">
        <f>IF('Business Loans'!$A$36&lt;=I97,'Business Loans'!$H$31,0)</f>
        <v>0</v>
      </c>
      <c r="J77" s="260">
        <f>IF('Business Loans'!$A$36&lt;=J97,'Business Loans'!$H$31,0)</f>
        <v>0</v>
      </c>
      <c r="K77" s="260">
        <f>IF('Business Loans'!$A$36&lt;=K97,'Business Loans'!$H$31,0)</f>
        <v>0</v>
      </c>
      <c r="L77" s="260">
        <f>IF('Business Loans'!$A$36&lt;=L97,'Business Loans'!$H$31,0)</f>
        <v>0</v>
      </c>
      <c r="M77" s="260">
        <f>IF('Business Loans'!$A$36&lt;=M97,'Business Loans'!$H$31,0)</f>
        <v>0</v>
      </c>
      <c r="N77" s="260">
        <f>IF('Business Loans'!$A$36&lt;=N97,'Business Loans'!$H$31,0)</f>
        <v>0</v>
      </c>
      <c r="O77" s="445">
        <f t="shared" ref="O77:O79" si="35">SUM(C77:N77)</f>
        <v>0</v>
      </c>
      <c r="P77" s="262">
        <f>SUM(O77-'Business Loans'!H32)</f>
        <v>0</v>
      </c>
      <c r="R77" s="235"/>
    </row>
    <row r="78" spans="1:23" ht="21" customHeight="1" thickBot="1">
      <c r="A78" s="444" t="s">
        <v>300</v>
      </c>
      <c r="B78" s="502" t="s">
        <v>259</v>
      </c>
      <c r="C78" s="260">
        <f>IF('Assets and Depreciation'!V9&lt;=0,0,'Assets and Depreciation'!V7)</f>
        <v>0</v>
      </c>
      <c r="D78" s="263">
        <f>IF('Assets and Depreciation'!V9&lt;=1,0,'Assets and Depreciation'!V7)</f>
        <v>0</v>
      </c>
      <c r="E78" s="263">
        <f>IF('Assets and Depreciation'!V9&lt;=2,0,'Assets and Depreciation'!V7)</f>
        <v>0</v>
      </c>
      <c r="F78" s="263">
        <f>IF('Assets and Depreciation'!V9&lt;=3,0,'Assets and Depreciation'!V7)</f>
        <v>0</v>
      </c>
      <c r="G78" s="263">
        <f>IF('Assets and Depreciation'!V9&lt;=4,0,'Assets and Depreciation'!V7)</f>
        <v>0</v>
      </c>
      <c r="H78" s="263">
        <f>IF('Assets and Depreciation'!V9&lt;=5,0,'Assets and Depreciation'!V7)</f>
        <v>0</v>
      </c>
      <c r="I78" s="263">
        <f>IF('Assets and Depreciation'!V9&lt;=6,0,'Assets and Depreciation'!V7)</f>
        <v>0</v>
      </c>
      <c r="J78" s="263">
        <f>IF('Assets and Depreciation'!V9&lt;=7,0,'Assets and Depreciation'!V7)</f>
        <v>0</v>
      </c>
      <c r="K78" s="263">
        <f>IF('Assets and Depreciation'!V9&lt;=8,0,'Assets and Depreciation'!V7)</f>
        <v>0</v>
      </c>
      <c r="L78" s="263">
        <f>IF('Assets and Depreciation'!V9&lt;=9,0,'Assets and Depreciation'!V7)</f>
        <v>0</v>
      </c>
      <c r="M78" s="263">
        <f>IF('Assets and Depreciation'!V9&lt;=10,0,'Assets and Depreciation'!V7)</f>
        <v>0</v>
      </c>
      <c r="N78" s="263">
        <f>IF('Assets and Depreciation'!V9&lt;=11,0,'Assets and Depreciation'!V7)</f>
        <v>0</v>
      </c>
      <c r="O78" s="445">
        <f>SUM(C78:N78)</f>
        <v>0</v>
      </c>
      <c r="P78" s="262">
        <f>SUM(O78-'Assets and Depreciation'!V10)</f>
        <v>0</v>
      </c>
      <c r="R78" s="235"/>
    </row>
    <row r="79" spans="1:23" ht="21" customHeight="1" thickBot="1">
      <c r="A79" s="444" t="s">
        <v>301</v>
      </c>
      <c r="B79" s="264"/>
      <c r="C79" s="265">
        <f>SUMIF('Assets and Depreciation'!$F$25:$F$29,0,'Assets and Depreciation'!$D$25:$D$29)+N("the first month is numbered zero")</f>
        <v>0</v>
      </c>
      <c r="D79" s="266">
        <f>SUMIF('Assets and Depreciation'!$F$25:$F$29,1,'Assets and Depreciation'!$D$25:$D$29)+N("the first month is numbered zero")</f>
        <v>0</v>
      </c>
      <c r="E79" s="266">
        <f>SUMIF('Assets and Depreciation'!$F$25:$F$29,2,'Assets and Depreciation'!$D$25:$D$29)+N("the first month is numbered zero")</f>
        <v>0</v>
      </c>
      <c r="F79" s="266">
        <f>SUMIF('Assets and Depreciation'!$F$25:$F$29,3,'Assets and Depreciation'!$D$25:$D$29)+N("the first month is numbered zero")</f>
        <v>0</v>
      </c>
      <c r="G79" s="266">
        <f>SUMIF('Assets and Depreciation'!$F$25:$F$29,4,'Assets and Depreciation'!$D$25:$D$29)+N("the first month is numbered zero")</f>
        <v>0</v>
      </c>
      <c r="H79" s="266">
        <f>SUMIF('Assets and Depreciation'!$F$25:$F$29,5,'Assets and Depreciation'!$D$25:$D$29)+N("the first month is numbered zero")</f>
        <v>0</v>
      </c>
      <c r="I79" s="266">
        <f>SUMIF('Assets and Depreciation'!$F$25:$F$29,6,'Assets and Depreciation'!$D$25:$D$29)+N("the first month is numbered zero")</f>
        <v>0</v>
      </c>
      <c r="J79" s="266">
        <f>SUMIF('Assets and Depreciation'!$F$25:$F$29,7,'Assets and Depreciation'!$D$25:$D$29)+N("the first month is numbered zero")</f>
        <v>0</v>
      </c>
      <c r="K79" s="266">
        <f>SUMIF('Assets and Depreciation'!$F$25:$F$29,8,'Assets and Depreciation'!$D$25:$D$29)+N("the first month is numbered zero")</f>
        <v>0</v>
      </c>
      <c r="L79" s="266">
        <f>SUMIF('Assets and Depreciation'!$F$25:$F$29,9,'Assets and Depreciation'!$D$25:$D$29)+N("the first month is numbered zero")</f>
        <v>0</v>
      </c>
      <c r="M79" s="266">
        <f>SUMIF('Assets and Depreciation'!$F$25:$F$29,10,'Assets and Depreciation'!$D$25:$D$29)+N("the first month is numbered zero")</f>
        <v>0</v>
      </c>
      <c r="N79" s="266">
        <f>SUMIF('Assets and Depreciation'!$F$25:$F$29,11,'Assets and Depreciation'!$D$25:$D$29)+N("the first month is numbered zero")</f>
        <v>0</v>
      </c>
      <c r="O79" s="445">
        <f t="shared" si="35"/>
        <v>0</v>
      </c>
      <c r="R79" s="237">
        <f>(O79*'Tables and Calculations'!C7)</f>
        <v>0</v>
      </c>
    </row>
    <row r="80" spans="1:23" ht="21" customHeight="1" thickBot="1">
      <c r="A80" s="674" t="s">
        <v>302</v>
      </c>
      <c r="B80" s="674"/>
      <c r="C80" s="445">
        <f>SUM(C76:C79)</f>
        <v>0</v>
      </c>
      <c r="D80" s="445">
        <f t="shared" ref="D80:N80" si="36">SUM(D76:D79)</f>
        <v>0</v>
      </c>
      <c r="E80" s="445">
        <f t="shared" si="36"/>
        <v>0</v>
      </c>
      <c r="F80" s="445">
        <f>SUM(F76:F79)</f>
        <v>0</v>
      </c>
      <c r="G80" s="445">
        <f t="shared" si="36"/>
        <v>0</v>
      </c>
      <c r="H80" s="445">
        <f t="shared" si="36"/>
        <v>0</v>
      </c>
      <c r="I80" s="445">
        <f t="shared" si="36"/>
        <v>0</v>
      </c>
      <c r="J80" s="445">
        <f t="shared" si="36"/>
        <v>0</v>
      </c>
      <c r="K80" s="445">
        <f t="shared" si="36"/>
        <v>0</v>
      </c>
      <c r="L80" s="445">
        <f t="shared" si="36"/>
        <v>0</v>
      </c>
      <c r="M80" s="445">
        <f t="shared" si="36"/>
        <v>0</v>
      </c>
      <c r="N80" s="445">
        <f t="shared" si="36"/>
        <v>0</v>
      </c>
      <c r="O80" s="445">
        <f>SUM(O76:O79)</f>
        <v>0</v>
      </c>
      <c r="R80" s="267"/>
      <c r="S80" s="39"/>
    </row>
    <row r="81" spans="1:19" ht="21" customHeight="1" thickBot="1">
      <c r="A81" s="678" t="s">
        <v>303</v>
      </c>
      <c r="B81" s="678"/>
      <c r="C81" s="678"/>
      <c r="D81" s="678"/>
      <c r="E81" s="678"/>
      <c r="F81" s="678"/>
      <c r="G81" s="678"/>
      <c r="H81" s="678"/>
      <c r="I81" s="678"/>
      <c r="J81" s="678"/>
      <c r="K81" s="678"/>
      <c r="L81" s="678"/>
      <c r="M81" s="678"/>
      <c r="N81" s="678"/>
      <c r="O81" s="678"/>
      <c r="R81" s="267"/>
    </row>
    <row r="82" spans="1:19" ht="21" customHeight="1" thickBot="1">
      <c r="A82" s="444" t="s">
        <v>304</v>
      </c>
      <c r="B82" s="268"/>
      <c r="C82" s="443"/>
      <c r="D82" s="443"/>
      <c r="E82" s="443"/>
      <c r="F82" s="443"/>
      <c r="G82" s="443"/>
      <c r="H82" s="443"/>
      <c r="I82" s="443"/>
      <c r="J82" s="443"/>
      <c r="K82" s="443"/>
      <c r="L82" s="443"/>
      <c r="M82" s="443"/>
      <c r="N82" s="443"/>
      <c r="O82" s="445">
        <f>SUM(C82:N82)</f>
        <v>0</v>
      </c>
      <c r="R82" s="267"/>
    </row>
    <row r="83" spans="1:19" ht="21" customHeight="1" thickBot="1">
      <c r="A83" s="678" t="s">
        <v>305</v>
      </c>
      <c r="B83" s="678"/>
      <c r="C83" s="678"/>
      <c r="D83" s="678"/>
      <c r="E83" s="678"/>
      <c r="F83" s="678"/>
      <c r="G83" s="678"/>
      <c r="H83" s="678"/>
      <c r="I83" s="678"/>
      <c r="J83" s="678"/>
      <c r="K83" s="678"/>
      <c r="L83" s="678"/>
      <c r="M83" s="678"/>
      <c r="N83" s="678"/>
      <c r="O83" s="678"/>
      <c r="R83" s="267"/>
    </row>
    <row r="84" spans="1:19" ht="21" customHeight="1" thickBot="1">
      <c r="A84" s="444" t="s">
        <v>306</v>
      </c>
      <c r="B84" s="223"/>
      <c r="C84" s="443">
        <f>IF('Set Up Details'!$D$11="Quarterly",IF(OR(C3="Jul",C3="Oct",C3="Jan",C3="Apr"),'Assets and Depreciation'!Q5,0),IF('Set Up Details'!$D$11="Monthly",'Assets and Depreciation'!Q5,0))</f>
        <v>0</v>
      </c>
      <c r="D84" s="443" t="e">
        <f>IF('Set Up Details'!$D$11="Quarterly",IF(OR(D3="Jul",D3="Oct",D3="Jan",D3="Apr"),C92,0),IF('Set Up Details'!$D$11="Monthly",C92,0))</f>
        <v>#VALUE!</v>
      </c>
      <c r="E84" s="443" t="e">
        <f>IF('Set Up Details'!$D$11="Quarterly",IF(OR(E3="Jul",E3="Oct",E3="Jan",E3="Apr"),D92,0),IF('Set Up Details'!$D$11="Monthly",D92,0))</f>
        <v>#VALUE!</v>
      </c>
      <c r="F84" s="443" t="e">
        <f>IF('Set Up Details'!$D$11="Quarterly",IF(OR(F3="Jul",F3="Oct",F3="Jan",F3="Apr"),E92,0),IF('Set Up Details'!$D$11="Monthly",E92,0))</f>
        <v>#VALUE!</v>
      </c>
      <c r="G84" s="443" t="e">
        <f>IF('Set Up Details'!$D$11="Quarterly",IF(OR(G3="Jul",G3="Oct",G3="Jan",G3="Apr"),F92,0),IF('Set Up Details'!$D$11="Monthly",F92,0))</f>
        <v>#VALUE!</v>
      </c>
      <c r="H84" s="443" t="e">
        <f>IF('Set Up Details'!$D$11="Quarterly",IF(OR(H3="Jul",H3="Oct",H3="Jan",H3="Apr"),G92,0),IF('Set Up Details'!$D$11="Monthly",G92,0))</f>
        <v>#VALUE!</v>
      </c>
      <c r="I84" s="443" t="e">
        <f>IF('Set Up Details'!$D$11="Quarterly",IF(OR(I3="Jul",I3="Oct",I3="Jan",I3="Apr"),H92,0),IF('Set Up Details'!$D$11="Monthly",H92,0))</f>
        <v>#VALUE!</v>
      </c>
      <c r="J84" s="443" t="e">
        <f>IF('Set Up Details'!$D$11="Quarterly",IF(OR(J3="Jul",J3="Oct",J3="Jan",J3="Apr"),I92,0),IF('Set Up Details'!$D$11="Monthly",I92,0))</f>
        <v>#VALUE!</v>
      </c>
      <c r="K84" s="443" t="e">
        <f>IF('Set Up Details'!$D$11="Quarterly",IF(OR(K3="Jul",K3="Oct",K3="Jan",K3="Apr"),J92,0),IF('Set Up Details'!$D$11="Monthly",J92,0))</f>
        <v>#VALUE!</v>
      </c>
      <c r="L84" s="443" t="e">
        <f>IF('Set Up Details'!$D$11="Quarterly",IF(OR(L3="Jul",L3="Oct",L3="Jan",L3="Apr"),K92,0),IF('Set Up Details'!$D$11="Monthly",K92,0))</f>
        <v>#VALUE!</v>
      </c>
      <c r="M84" s="443" t="e">
        <f>IF('Set Up Details'!$D$11="Quarterly",IF(OR(M3="Jul",M3="Oct",M3="Jan",M3="Apr"),L92,0),IF('Set Up Details'!$D$11="Monthly",L92,0))</f>
        <v>#VALUE!</v>
      </c>
      <c r="N84" s="443" t="e">
        <f>IF('Set Up Details'!$D$11="Quarterly",IF(OR(N3="Jul",N3="Oct",N3="Jan",N3="Apr"),M92,0),IF('Set Up Details'!$D$11="Monthly",M92,0))</f>
        <v>#VALUE!</v>
      </c>
      <c r="O84" s="445" t="e">
        <f>SUM(C84:N84)</f>
        <v>#VALUE!</v>
      </c>
      <c r="R84" s="267"/>
    </row>
    <row r="85" spans="1:19" ht="21" customHeight="1" thickBot="1">
      <c r="A85" s="444" t="s">
        <v>307</v>
      </c>
      <c r="B85" s="223"/>
      <c r="C85" s="269"/>
      <c r="D85" s="270"/>
      <c r="E85" s="443">
        <f>(IF(OR(E3="Jan",E3="Apr",E3="Jul",E3="Oct"),'Tables and Calculations'!G25*0.25,0))</f>
        <v>0</v>
      </c>
      <c r="F85" s="443" t="e">
        <f>(IF(OR(F3="Jan",F3="Apr",F3="Jul",F3="Oct"),'Tables and Calculations'!$G$25*0.25,0))</f>
        <v>#VALUE!</v>
      </c>
      <c r="G85" s="443">
        <f>(IF(OR(G3="Jan",G3="Apr",G3="Jul",G3="Oct"),'Tables and Calculations'!$G$25*0.25,0))</f>
        <v>0</v>
      </c>
      <c r="H85" s="443">
        <f>(IF(OR(H3="Jan",H3="Apr",H3="Jul",H3="Oct"),'Tables and Calculations'!$G$25*0.25,0))</f>
        <v>0</v>
      </c>
      <c r="I85" s="443" t="e">
        <f>(IF(OR(I3="Jan",I3="Apr",I3="Jul",I3="Oct"),'Tables and Calculations'!$G$25*0.25,0))</f>
        <v>#VALUE!</v>
      </c>
      <c r="J85" s="443">
        <f>(IF(OR(J3="Jan",J3="Apr",J3="Jul",J3="Oct"),'Tables and Calculations'!$G$25*0.25,0))</f>
        <v>0</v>
      </c>
      <c r="K85" s="443">
        <f>(IF(OR(K3="Jan",K3="Apr",K3="Jul",K3="Oct"),'Tables and Calculations'!$G$25*0.25,0))</f>
        <v>0</v>
      </c>
      <c r="L85" s="443" t="e">
        <f>(IF(OR(L3="Jan",L3="Apr",L3="Jul",L3="Oct"),'Tables and Calculations'!$G$25*0.25,0))</f>
        <v>#VALUE!</v>
      </c>
      <c r="M85" s="443">
        <f>(IF(OR(M3="Jan",M3="Apr",M3="Jul",M3="Oct"),'Tables and Calculations'!$G$25*0.25,0))</f>
        <v>0</v>
      </c>
      <c r="N85" s="443">
        <f>(IF(OR(N3="Jan",N3="Apr",N3="Jul",N3="Oct"),'Tables and Calculations'!$G$25*0.25,0))</f>
        <v>0</v>
      </c>
      <c r="O85" s="445" t="e">
        <f t="shared" ref="O85:O86" si="37">SUM(C85:N85)</f>
        <v>#VALUE!</v>
      </c>
      <c r="R85" s="267"/>
    </row>
    <row r="86" spans="1:19" ht="21" customHeight="1" thickBot="1">
      <c r="A86" s="674" t="s">
        <v>308</v>
      </c>
      <c r="B86" s="674"/>
      <c r="C86" s="443">
        <f>SUM(C82:C85)</f>
        <v>0</v>
      </c>
      <c r="D86" s="443" t="e">
        <f t="shared" ref="D86:N86" si="38">SUM(D82:D85)</f>
        <v>#VALUE!</v>
      </c>
      <c r="E86" s="443" t="e">
        <f t="shared" si="38"/>
        <v>#VALUE!</v>
      </c>
      <c r="F86" s="443" t="e">
        <f t="shared" si="38"/>
        <v>#VALUE!</v>
      </c>
      <c r="G86" s="443" t="e">
        <f t="shared" si="38"/>
        <v>#VALUE!</v>
      </c>
      <c r="H86" s="443" t="e">
        <f t="shared" si="38"/>
        <v>#VALUE!</v>
      </c>
      <c r="I86" s="443" t="e">
        <f t="shared" si="38"/>
        <v>#VALUE!</v>
      </c>
      <c r="J86" s="443" t="e">
        <f t="shared" si="38"/>
        <v>#VALUE!</v>
      </c>
      <c r="K86" s="443" t="e">
        <f t="shared" si="38"/>
        <v>#VALUE!</v>
      </c>
      <c r="L86" s="443" t="e">
        <f t="shared" si="38"/>
        <v>#VALUE!</v>
      </c>
      <c r="M86" s="443" t="e">
        <f t="shared" si="38"/>
        <v>#VALUE!</v>
      </c>
      <c r="N86" s="443" t="e">
        <f t="shared" si="38"/>
        <v>#VALUE!</v>
      </c>
      <c r="O86" s="445" t="e">
        <f t="shared" si="37"/>
        <v>#VALUE!</v>
      </c>
      <c r="R86" s="271"/>
      <c r="S86" s="39"/>
    </row>
    <row r="87" spans="1:19" ht="18.75" thickBot="1">
      <c r="A87" s="674" t="s">
        <v>115</v>
      </c>
      <c r="B87" s="674"/>
      <c r="C87" s="445" t="e">
        <f t="shared" ref="C87:N87" si="39">C25+C74+C80+C86</f>
        <v>#VALUE!</v>
      </c>
      <c r="D87" s="445" t="e">
        <f t="shared" si="39"/>
        <v>#VALUE!</v>
      </c>
      <c r="E87" s="445" t="e">
        <f t="shared" si="39"/>
        <v>#VALUE!</v>
      </c>
      <c r="F87" s="445" t="e">
        <f t="shared" si="39"/>
        <v>#VALUE!</v>
      </c>
      <c r="G87" s="445" t="e">
        <f t="shared" si="39"/>
        <v>#VALUE!</v>
      </c>
      <c r="H87" s="445" t="e">
        <f t="shared" si="39"/>
        <v>#VALUE!</v>
      </c>
      <c r="I87" s="445" t="e">
        <f t="shared" si="39"/>
        <v>#VALUE!</v>
      </c>
      <c r="J87" s="445" t="e">
        <f t="shared" si="39"/>
        <v>#VALUE!</v>
      </c>
      <c r="K87" s="445" t="e">
        <f t="shared" si="39"/>
        <v>#VALUE!</v>
      </c>
      <c r="L87" s="445" t="e">
        <f t="shared" si="39"/>
        <v>#VALUE!</v>
      </c>
      <c r="M87" s="445" t="e">
        <f t="shared" si="39"/>
        <v>#VALUE!</v>
      </c>
      <c r="N87" s="445" t="e">
        <f t="shared" si="39"/>
        <v>#VALUE!</v>
      </c>
      <c r="O87" s="445" t="e">
        <f>SUM(C87:N87)</f>
        <v>#VALUE!</v>
      </c>
      <c r="R87" s="272"/>
    </row>
    <row r="88" spans="1:19">
      <c r="M88" s="684"/>
      <c r="N88" s="684"/>
      <c r="O88" s="684"/>
      <c r="P88" s="273"/>
      <c r="Q88" s="273"/>
      <c r="R88" s="274"/>
    </row>
    <row r="89" spans="1:19">
      <c r="R89" s="274"/>
      <c r="S89" s="39"/>
    </row>
    <row r="90" spans="1:19">
      <c r="A90" s="588" t="s">
        <v>309</v>
      </c>
      <c r="B90" s="588"/>
      <c r="C90" s="503">
        <v>0</v>
      </c>
      <c r="D90" s="503">
        <f>'Debtors analysis'!R22</f>
        <v>0</v>
      </c>
      <c r="E90" s="503">
        <f>'Debtors analysis'!S22</f>
        <v>0</v>
      </c>
      <c r="F90" s="503">
        <f>'Debtors analysis'!T22</f>
        <v>0</v>
      </c>
      <c r="G90" s="503">
        <f>'Debtors analysis'!U22</f>
        <v>0</v>
      </c>
      <c r="H90" s="503">
        <f>'Debtors analysis'!V22</f>
        <v>0</v>
      </c>
      <c r="I90" s="503">
        <f>'Debtors analysis'!W22</f>
        <v>0</v>
      </c>
      <c r="J90" s="503">
        <f>'Debtors analysis'!X22</f>
        <v>0</v>
      </c>
      <c r="K90" s="503">
        <f>'Debtors analysis'!Y22</f>
        <v>0</v>
      </c>
      <c r="L90" s="503">
        <f>'Debtors analysis'!Z22</f>
        <v>0</v>
      </c>
      <c r="M90" s="503">
        <f>'Debtors analysis'!AA22</f>
        <v>0</v>
      </c>
      <c r="N90" s="503">
        <f>'Debtors analysis'!AB22</f>
        <v>0</v>
      </c>
      <c r="O90" s="39"/>
      <c r="P90" s="39"/>
      <c r="Q90" s="39"/>
      <c r="R90" s="274"/>
      <c r="S90" s="39"/>
    </row>
    <row r="91" spans="1:19" ht="15" customHeight="1" thickBot="1">
      <c r="A91" s="682" t="s">
        <v>310</v>
      </c>
      <c r="B91" s="683"/>
      <c r="C91" s="503" t="e">
        <f>IF('Tables and Calculations'!$B$7&gt;1,((C25+SUM(C27:C67)+C79)*'Tables and Calculations'!$C$7),0)</f>
        <v>#VALUE!</v>
      </c>
      <c r="D91" s="503" t="e">
        <f>IF('Tables and Calculations'!$B$7&gt;1,((D25+SUM(D27:D67)+D79)*'Tables and Calculations'!$C$7),0)</f>
        <v>#VALUE!</v>
      </c>
      <c r="E91" s="503" t="e">
        <f>IF('Tables and Calculations'!$B$7&gt;1,((E25+SUM(E27:E67)+E79)*'Tables and Calculations'!$C$7),0)</f>
        <v>#VALUE!</v>
      </c>
      <c r="F91" s="503" t="e">
        <f>IF('Tables and Calculations'!$B$7&gt;1,((F25+SUM(F27:F67)+F79)*'Tables and Calculations'!$C$7),0)</f>
        <v>#VALUE!</v>
      </c>
      <c r="G91" s="503" t="e">
        <f>IF('Tables and Calculations'!$B$7&gt;1,((G25+SUM(G27:G67)+G79)*'Tables and Calculations'!$C$7),0)</f>
        <v>#VALUE!</v>
      </c>
      <c r="H91" s="503" t="e">
        <f>IF('Tables and Calculations'!$B$7&gt;1,((H25+SUM(H27:H67)+H79)*'Tables and Calculations'!$C$7),0)</f>
        <v>#VALUE!</v>
      </c>
      <c r="I91" s="503" t="e">
        <f>IF('Tables and Calculations'!$B$7&gt;1,((I25+SUM(I27:I67)+I79)*'Tables and Calculations'!$C$7),0)</f>
        <v>#VALUE!</v>
      </c>
      <c r="J91" s="503" t="e">
        <f>IF('Tables and Calculations'!$B$7&gt;1,((J25+SUM(J27:J67)+J79)*'Tables and Calculations'!$C$7),0)</f>
        <v>#VALUE!</v>
      </c>
      <c r="K91" s="503" t="e">
        <f>IF('Tables and Calculations'!$B$7&gt;1,((K25+SUM(K27:K67)+K79)*'Tables and Calculations'!$C$7),0)</f>
        <v>#VALUE!</v>
      </c>
      <c r="L91" s="503" t="e">
        <f>IF('Tables and Calculations'!$B$7&gt;1,((L25+SUM(L27:L67)+L79)*'Tables and Calculations'!$C$7),0)</f>
        <v>#VALUE!</v>
      </c>
      <c r="M91" s="503" t="e">
        <f>IF('Tables and Calculations'!$B$7&gt;1,((M25+SUM(M27:M67)+M79)*'Tables and Calculations'!$C$7),0)</f>
        <v>#VALUE!</v>
      </c>
      <c r="N91" s="503" t="e">
        <f>IF('Tables and Calculations'!$B$7&gt;1,((N25+SUM(N27:N67)+N79)*'Tables and Calculations'!$C$7),0)</f>
        <v>#VALUE!</v>
      </c>
      <c r="O91" s="39"/>
      <c r="R91" s="274"/>
    </row>
    <row r="92" spans="1:19" ht="16.5" customHeight="1" thickBot="1">
      <c r="A92" s="588" t="s">
        <v>311</v>
      </c>
      <c r="B92" s="588"/>
      <c r="C92" s="503" t="e">
        <f>('Assets and Depreciation'!Q5+C90-C91-C84)</f>
        <v>#VALUE!</v>
      </c>
      <c r="D92" s="503" t="e">
        <f>(C92+D90-D91-D84)</f>
        <v>#VALUE!</v>
      </c>
      <c r="E92" s="503" t="e">
        <f>(D92+E90-E91-E84)</f>
        <v>#VALUE!</v>
      </c>
      <c r="F92" s="503" t="e">
        <f t="shared" ref="F92:N92" si="40">(E92+F90-F91-F84)</f>
        <v>#VALUE!</v>
      </c>
      <c r="G92" s="503" t="e">
        <f t="shared" si="40"/>
        <v>#VALUE!</v>
      </c>
      <c r="H92" s="503" t="e">
        <f t="shared" si="40"/>
        <v>#VALUE!</v>
      </c>
      <c r="I92" s="503" t="e">
        <f t="shared" si="40"/>
        <v>#VALUE!</v>
      </c>
      <c r="J92" s="503" t="e">
        <f t="shared" si="40"/>
        <v>#VALUE!</v>
      </c>
      <c r="K92" s="503" t="e">
        <f t="shared" si="40"/>
        <v>#VALUE!</v>
      </c>
      <c r="L92" s="503" t="e">
        <f t="shared" si="40"/>
        <v>#VALUE!</v>
      </c>
      <c r="M92" s="503" t="e">
        <f t="shared" si="40"/>
        <v>#VALUE!</v>
      </c>
      <c r="N92" s="503" t="e">
        <f t="shared" si="40"/>
        <v>#VALUE!</v>
      </c>
      <c r="O92" s="445" t="e">
        <f>'Assets and Depreciation'!Q5+(R12+R14-((SUM(R22:R79)+O84)))</f>
        <v>#VALUE!</v>
      </c>
      <c r="P92" s="39"/>
      <c r="Q92" s="39"/>
      <c r="R92" s="275" t="e">
        <f>O92-N92</f>
        <v>#VALUE!</v>
      </c>
    </row>
    <row r="97" spans="1:14" hidden="1">
      <c r="A97" s="276" t="s">
        <v>312</v>
      </c>
      <c r="B97" s="276"/>
      <c r="C97" s="276">
        <v>0</v>
      </c>
      <c r="D97" s="276">
        <v>1</v>
      </c>
      <c r="E97" s="276">
        <v>2</v>
      </c>
      <c r="F97" s="276">
        <v>3</v>
      </c>
      <c r="G97" s="276">
        <v>4</v>
      </c>
      <c r="H97" s="276">
        <v>5</v>
      </c>
      <c r="I97" s="276">
        <v>6</v>
      </c>
      <c r="J97" s="276">
        <v>7</v>
      </c>
      <c r="K97" s="276">
        <v>8</v>
      </c>
      <c r="L97" s="276">
        <v>9</v>
      </c>
      <c r="M97" s="276">
        <v>10</v>
      </c>
      <c r="N97" s="276">
        <v>11</v>
      </c>
    </row>
  </sheetData>
  <mergeCells count="31">
    <mergeCell ref="C15:O15"/>
    <mergeCell ref="B1:O1"/>
    <mergeCell ref="A2:O2"/>
    <mergeCell ref="A4:B4"/>
    <mergeCell ref="A5:B5"/>
    <mergeCell ref="A6:B6"/>
    <mergeCell ref="A7:B7"/>
    <mergeCell ref="P7:Q7"/>
    <mergeCell ref="A9:B9"/>
    <mergeCell ref="P9:Q9"/>
    <mergeCell ref="A11:O11"/>
    <mergeCell ref="C13:O13"/>
    <mergeCell ref="A81:O81"/>
    <mergeCell ref="A18:B18"/>
    <mergeCell ref="A20:O20"/>
    <mergeCell ref="A25:B25"/>
    <mergeCell ref="S52:S53"/>
    <mergeCell ref="V52:V53"/>
    <mergeCell ref="W52:W53"/>
    <mergeCell ref="A74:B74"/>
    <mergeCell ref="A75:O75"/>
    <mergeCell ref="A80:B80"/>
    <mergeCell ref="T52:T53"/>
    <mergeCell ref="U52:U53"/>
    <mergeCell ref="A92:B92"/>
    <mergeCell ref="A83:O83"/>
    <mergeCell ref="A86:B86"/>
    <mergeCell ref="A87:B87"/>
    <mergeCell ref="M88:O88"/>
    <mergeCell ref="A90:B90"/>
    <mergeCell ref="A91:B91"/>
  </mergeCells>
  <conditionalFormatting sqref="C7:N7">
    <cfRule type="cellIs" dxfId="2" priority="1" operator="lessThan">
      <formula>0</formula>
    </cfRule>
  </conditionalFormatting>
  <dataValidations count="1">
    <dataValidation allowBlank="1" showInputMessage="1" showErrorMessage="1" prompt="If the start month for intermittent payments needs to be adjusted, ask your trainer for assistance." sqref="C54:N67" xr:uid="{82F85D1A-733D-4BF5-B568-B8D64DA9546B}"/>
  </dataValidations>
  <hyperlinks>
    <hyperlink ref="A35" r:id="rId1" display="https://www.ato.gov.au/calculators-and-tools/home-office-expenses-calculator/" xr:uid="{A46B183A-6167-4D8D-B65A-B4A98C9CACCE}"/>
  </hyperlinks>
  <pageMargins left="0.25" right="0.25" top="0.75" bottom="0.75" header="0.3" footer="0.3"/>
  <pageSetup paperSize="9" scale="31" orientation="portrait" r:id="rId2"/>
  <headerFooter alignWithMargins="0">
    <oddHeader>&amp;L&amp;A&amp;CSelf-Employment Assistance</oddHeader>
  </headerFooter>
  <rowBreaks count="1" manualBreakCount="1">
    <brk id="87" max="16383" man="1"/>
  </rowBreaks>
  <colBreaks count="1" manualBreakCount="1">
    <brk id="17"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61EE-3083-438C-ACDA-66711BC56DB6}">
  <sheetPr codeName="Sheet20">
    <tabColor rgb="FF92D050"/>
    <pageSetUpPr fitToPage="1"/>
  </sheetPr>
  <dimension ref="A1:G79"/>
  <sheetViews>
    <sheetView topLeftCell="A49" zoomScale="85" zoomScaleNormal="85" workbookViewId="0">
      <selection activeCell="C59" sqref="C59"/>
    </sheetView>
  </sheetViews>
  <sheetFormatPr defaultColWidth="9.28515625" defaultRowHeight="12.75"/>
  <cols>
    <col min="1" max="1" width="26.7109375" style="193" customWidth="1"/>
    <col min="2" max="2" width="18.42578125" style="193" customWidth="1"/>
    <col min="3" max="3" width="17.42578125" style="193" customWidth="1"/>
    <col min="4" max="4" width="9.42578125" style="193" customWidth="1"/>
    <col min="5" max="5" width="15.7109375" style="193" customWidth="1"/>
    <col min="6" max="6" width="12.28515625" style="193" customWidth="1"/>
    <col min="7" max="7" width="17" style="193" customWidth="1"/>
    <col min="8" max="8" width="9.28515625" style="193"/>
    <col min="9" max="9" width="16.28515625" style="193" customWidth="1"/>
    <col min="10" max="16384" width="9.28515625" style="193"/>
  </cols>
  <sheetData>
    <row r="1" spans="1:7" ht="20.25">
      <c r="A1" s="421" t="s">
        <v>249</v>
      </c>
      <c r="B1" s="583" t="str">
        <f>'Set Up Details'!C2</f>
        <v>Test1</v>
      </c>
      <c r="C1" s="583"/>
      <c r="D1" s="583"/>
      <c r="E1" s="583"/>
      <c r="F1" s="583"/>
      <c r="G1" s="277"/>
    </row>
    <row r="3" spans="1:7" ht="28.15" customHeight="1">
      <c r="A3" s="526" t="s">
        <v>313</v>
      </c>
      <c r="B3" s="526"/>
      <c r="C3" s="526"/>
      <c r="D3" s="526"/>
      <c r="E3" s="526"/>
      <c r="F3" s="526"/>
    </row>
    <row r="4" spans="1:7" ht="16.149999999999999" customHeight="1">
      <c r="A4" s="422" t="s">
        <v>42</v>
      </c>
      <c r="B4" s="422"/>
      <c r="C4" s="422" t="s">
        <v>314</v>
      </c>
      <c r="D4" s="422" t="s">
        <v>315</v>
      </c>
      <c r="E4" s="422" t="s">
        <v>316</v>
      </c>
      <c r="F4" s="422" t="s">
        <v>315</v>
      </c>
    </row>
    <row r="5" spans="1:7" ht="16.149999999999999" customHeight="1">
      <c r="A5" s="588" t="s">
        <v>317</v>
      </c>
      <c r="B5" s="588"/>
      <c r="C5" s="478">
        <f>ROUND('Sales Forecast Year 1'!P40-'Cash Flow Year 1'!R12,0)</f>
        <v>0</v>
      </c>
      <c r="D5" s="443" t="str">
        <f>IF(C5&gt;0,C5/$C$7," ")</f>
        <v xml:space="preserve"> </v>
      </c>
      <c r="E5" s="478">
        <f>ROUND('Sales Forecast Year 2'!P39-'Cash Flow Year 2'!R12,0)</f>
        <v>0</v>
      </c>
      <c r="F5" s="443" t="str">
        <f>IF(E5&gt;0,E5/$E$7," ")</f>
        <v xml:space="preserve"> </v>
      </c>
    </row>
    <row r="6" spans="1:7" ht="16.149999999999999" customHeight="1" thickBot="1">
      <c r="A6" s="588" t="s">
        <v>318</v>
      </c>
      <c r="B6" s="588"/>
      <c r="C6" s="478">
        <f>'Cash Flow Year 1'!O14-'Cash Flow Year 1'!R14</f>
        <v>0</v>
      </c>
      <c r="D6" s="443" t="str">
        <f>IF(C6&gt;0,C6/$C$7," ")</f>
        <v xml:space="preserve"> </v>
      </c>
      <c r="E6" s="478">
        <f>'Cash Flow Year 2'!O14-'Cash Flow Year 2'!R14</f>
        <v>0</v>
      </c>
      <c r="F6" s="443" t="str">
        <f>IF(E6&gt;0,E6/$E$7," ")</f>
        <v xml:space="preserve"> </v>
      </c>
    </row>
    <row r="7" spans="1:7" ht="16.149999999999999" customHeight="1" thickBot="1">
      <c r="A7" s="645" t="s">
        <v>319</v>
      </c>
      <c r="B7" s="645"/>
      <c r="C7" s="445">
        <f>SUM(C5:C6)</f>
        <v>0</v>
      </c>
      <c r="D7" s="504">
        <f>ROUND(SUM(D5:D6),0)</f>
        <v>0</v>
      </c>
      <c r="E7" s="445">
        <f>SUM(E5:E6)</f>
        <v>0</v>
      </c>
      <c r="F7" s="504">
        <f>SUM(F5:F6)</f>
        <v>0</v>
      </c>
    </row>
    <row r="8" spans="1:7" ht="16.149999999999999" customHeight="1">
      <c r="A8" s="692"/>
      <c r="B8" s="692"/>
      <c r="D8" s="278"/>
      <c r="F8" s="278"/>
    </row>
    <row r="9" spans="1:7" ht="16.149999999999999" customHeight="1">
      <c r="A9" s="666" t="s">
        <v>220</v>
      </c>
      <c r="B9" s="666"/>
      <c r="C9" s="666"/>
      <c r="D9" s="666"/>
      <c r="E9" s="666"/>
      <c r="F9" s="666"/>
    </row>
    <row r="10" spans="1:7" ht="16.149999999999999" customHeight="1">
      <c r="A10" s="693" t="s">
        <v>320</v>
      </c>
      <c r="B10" s="693"/>
      <c r="C10" s="478">
        <f>'Assets and Depreciation'!B18</f>
        <v>0</v>
      </c>
      <c r="D10" s="505"/>
      <c r="E10" s="478">
        <f>C14</f>
        <v>0</v>
      </c>
      <c r="F10" s="505"/>
    </row>
    <row r="11" spans="1:7" ht="16.149999999999999" customHeight="1">
      <c r="A11" s="588" t="s">
        <v>321</v>
      </c>
      <c r="B11" s="588"/>
      <c r="C11" s="478">
        <f>'Cash Flow Year 1'!O22-'Cash Flow Year 1'!R22</f>
        <v>0</v>
      </c>
      <c r="D11" s="505" t="str">
        <f>IF($C$7&gt;0,C11/$C$7," ")</f>
        <v xml:space="preserve"> </v>
      </c>
      <c r="E11" s="478">
        <f>'Cash Flow Year 2'!O22-'Cash Flow Year 2'!R22</f>
        <v>0</v>
      </c>
      <c r="F11" s="505" t="str">
        <f>IF($C$7&gt;0,E11/$C$7," ")</f>
        <v xml:space="preserve"> </v>
      </c>
    </row>
    <row r="12" spans="1:7" ht="16.149999999999999" customHeight="1">
      <c r="A12" s="588" t="str">
        <f>'Cash Flow Year 1'!A21</f>
        <v>Sales Related Expenses</v>
      </c>
      <c r="B12" s="588"/>
      <c r="C12" s="478">
        <f>'Cash Flow Year 1'!O23-'Cash Flow Year 1'!R23</f>
        <v>0</v>
      </c>
      <c r="D12" s="505" t="str">
        <f>IF($C$7&gt;0,C12/$C$7," ")</f>
        <v xml:space="preserve"> </v>
      </c>
      <c r="E12" s="478">
        <f>'Cash Flow Year 2'!O23-'Cash Flow Year 2'!R23</f>
        <v>0</v>
      </c>
      <c r="F12" s="505" t="str">
        <f>IF($C$7&gt;0,E12/$C$7," ")</f>
        <v xml:space="preserve"> </v>
      </c>
    </row>
    <row r="13" spans="1:7" ht="16.149999999999999" customHeight="1">
      <c r="A13" s="588" t="str">
        <f>'Cash Flow Year 1'!A22</f>
        <v>Cost of Sales as per worksheet</v>
      </c>
      <c r="B13" s="588"/>
      <c r="C13" s="478">
        <f>'Cash Flow Year 1'!O24-'Cash Flow Year 1'!R24</f>
        <v>0</v>
      </c>
      <c r="D13" s="505" t="str">
        <f>IF($C$7&gt;0,C13/$C$7," ")</f>
        <v xml:space="preserve"> </v>
      </c>
      <c r="E13" s="478">
        <f>'Cash Flow Year 2'!O24-'Cash Flow Year 2'!R24</f>
        <v>0</v>
      </c>
      <c r="F13" s="505" t="str">
        <f>IF($C$7&gt;0,E13/$C$7," ")</f>
        <v xml:space="preserve"> </v>
      </c>
    </row>
    <row r="14" spans="1:7" ht="16.149999999999999" customHeight="1" thickBot="1">
      <c r="A14" s="693" t="s">
        <v>322</v>
      </c>
      <c r="B14" s="693"/>
      <c r="C14" s="478">
        <f>IF('Sales Forecast Year 1'!O76="n/a",0,'Sales Forecast Year 1'!O76)</f>
        <v>0</v>
      </c>
      <c r="D14" s="505"/>
      <c r="E14" s="478">
        <f>IF('Sales Forecast Year 2'!O74="n/a",0,'Sales Forecast Year 2'!O74)</f>
        <v>0</v>
      </c>
      <c r="F14" s="505"/>
    </row>
    <row r="15" spans="1:7" ht="16.149999999999999" customHeight="1" thickBot="1">
      <c r="A15" s="645" t="s">
        <v>323</v>
      </c>
      <c r="B15" s="645"/>
      <c r="C15" s="445">
        <f>SUM(C10:C13)-C14</f>
        <v>0</v>
      </c>
      <c r="D15" s="445">
        <f>IF(C$7&gt;0,C15/C$7,0)</f>
        <v>0</v>
      </c>
      <c r="E15" s="445">
        <f>SUM(E10:E13)-E14</f>
        <v>0</v>
      </c>
      <c r="F15" s="445">
        <f>IF(E$7&gt;0,E15/E$7,0)</f>
        <v>0</v>
      </c>
    </row>
    <row r="16" spans="1:7" ht="16.149999999999999" customHeight="1" thickBot="1">
      <c r="A16" s="645" t="s">
        <v>324</v>
      </c>
      <c r="B16" s="645"/>
      <c r="C16" s="445">
        <f>ROUND(C7-C15,0)</f>
        <v>0</v>
      </c>
      <c r="D16" s="445">
        <f>IF(C$7&gt;0,C16/C$7,0)</f>
        <v>0</v>
      </c>
      <c r="E16" s="445">
        <f>E7-E15</f>
        <v>0</v>
      </c>
      <c r="F16" s="445">
        <f>IF(E$7&gt;0,E16/E$7,0)</f>
        <v>0</v>
      </c>
    </row>
    <row r="17" spans="1:6" ht="16.149999999999999" customHeight="1">
      <c r="A17" s="692"/>
      <c r="B17" s="692"/>
      <c r="D17" s="278"/>
      <c r="F17" s="278"/>
    </row>
    <row r="18" spans="1:6" ht="16.149999999999999" customHeight="1">
      <c r="A18" s="666" t="s">
        <v>325</v>
      </c>
      <c r="B18" s="666"/>
      <c r="C18" s="666"/>
      <c r="D18" s="666"/>
      <c r="E18" s="666"/>
      <c r="F18" s="666"/>
    </row>
    <row r="19" spans="1:6" ht="16.149999999999999" customHeight="1">
      <c r="A19" s="691" t="str">
        <f>'Cash Flow Year 2'!A27</f>
        <v>Promotional costs as per marketing action plan</v>
      </c>
      <c r="B19" s="691"/>
      <c r="C19" s="478">
        <f>'Cash Flow Year 1'!O27-'Cash Flow Year 1'!R27</f>
        <v>0</v>
      </c>
      <c r="D19" s="505" t="str">
        <f t="shared" ref="D19:D64" si="0">IF(C$7&gt;0,C19/C$7," ")</f>
        <v xml:space="preserve"> </v>
      </c>
      <c r="E19" s="478">
        <f>'Cash Flow Year 2'!O27-'Cash Flow Year 2'!R27</f>
        <v>0</v>
      </c>
      <c r="F19" s="505" t="str">
        <f t="shared" ref="F19:F64" si="1">IF(E$7&gt;0,E19/E$7," ")</f>
        <v xml:space="preserve"> </v>
      </c>
    </row>
    <row r="20" spans="1:6" ht="16.149999999999999" customHeight="1">
      <c r="A20" s="691" t="str">
        <f>'Cash Flow Year 2'!A28</f>
        <v>Accountant</v>
      </c>
      <c r="B20" s="691"/>
      <c r="C20" s="478">
        <f>'Cash Flow Year 1'!O28-'Cash Flow Year 1'!R28</f>
        <v>0</v>
      </c>
      <c r="D20" s="505" t="str">
        <f t="shared" si="0"/>
        <v xml:space="preserve"> </v>
      </c>
      <c r="E20" s="478">
        <f>'Cash Flow Year 2'!O28-'Cash Flow Year 2'!R28</f>
        <v>0</v>
      </c>
      <c r="F20" s="505" t="str">
        <f t="shared" si="1"/>
        <v xml:space="preserve"> </v>
      </c>
    </row>
    <row r="21" spans="1:6" ht="16.149999999999999" customHeight="1">
      <c r="A21" s="691" t="str">
        <f>'Cash Flow Year 2'!A29</f>
        <v>Bookkeeper</v>
      </c>
      <c r="B21" s="691"/>
      <c r="C21" s="478">
        <f>'Cash Flow Year 1'!O29-'Cash Flow Year 1'!R29</f>
        <v>0</v>
      </c>
      <c r="D21" s="505" t="str">
        <f t="shared" si="0"/>
        <v xml:space="preserve"> </v>
      </c>
      <c r="E21" s="478">
        <f>'Cash Flow Year 2'!O29-'Cash Flow Year 2'!R29</f>
        <v>0</v>
      </c>
      <c r="F21" s="505" t="str">
        <f t="shared" si="1"/>
        <v xml:space="preserve"> </v>
      </c>
    </row>
    <row r="22" spans="1:6" ht="16.149999999999999" customHeight="1">
      <c r="A22" s="691" t="str">
        <f>'Cash Flow Year 2'!A30</f>
        <v>Business Insurance - Public Liability</v>
      </c>
      <c r="B22" s="691"/>
      <c r="C22" s="478">
        <f>'Cash Flow Year 1'!O30-'Cash Flow Year 1'!R30</f>
        <v>0</v>
      </c>
      <c r="D22" s="505" t="str">
        <f t="shared" si="0"/>
        <v xml:space="preserve"> </v>
      </c>
      <c r="E22" s="478">
        <f>'Cash Flow Year 2'!O30-'Cash Flow Year 2'!R30</f>
        <v>0</v>
      </c>
      <c r="F22" s="505" t="str">
        <f t="shared" si="1"/>
        <v xml:space="preserve"> </v>
      </c>
    </row>
    <row r="23" spans="1:6" ht="16.149999999999999" customHeight="1">
      <c r="A23" s="691" t="str">
        <f>'Cash Flow Year 2'!A31</f>
        <v>Business Insurance - Other</v>
      </c>
      <c r="B23" s="691"/>
      <c r="C23" s="478">
        <f>'Cash Flow Year 1'!O31-'Cash Flow Year 1'!R31</f>
        <v>0</v>
      </c>
      <c r="D23" s="505" t="str">
        <f t="shared" si="0"/>
        <v xml:space="preserve"> </v>
      </c>
      <c r="E23" s="478">
        <f>'Cash Flow Year 2'!O31-'Cash Flow Year 2'!R31</f>
        <v>0</v>
      </c>
      <c r="F23" s="505" t="str">
        <f t="shared" si="1"/>
        <v xml:space="preserve"> </v>
      </c>
    </row>
    <row r="24" spans="1:6" ht="16.149999999999999" customHeight="1">
      <c r="A24" s="691" t="str">
        <f>'Cash Flow Year 2'!A32</f>
        <v>Commercial Rent</v>
      </c>
      <c r="B24" s="691"/>
      <c r="C24" s="478">
        <f>'Cash Flow Year 1'!O32-'Cash Flow Year 1'!R32</f>
        <v>0</v>
      </c>
      <c r="D24" s="505" t="str">
        <f t="shared" si="0"/>
        <v xml:space="preserve"> </v>
      </c>
      <c r="E24" s="478">
        <f>'Cash Flow Year 2'!O32-'Cash Flow Year 2'!R32</f>
        <v>0</v>
      </c>
      <c r="F24" s="505" t="str">
        <f t="shared" si="1"/>
        <v xml:space="preserve"> </v>
      </c>
    </row>
    <row r="25" spans="1:6" ht="16.149999999999999" customHeight="1">
      <c r="A25" s="691" t="str">
        <f>'Cash Flow Year 2'!A33</f>
        <v>Other Commercial Outgoings</v>
      </c>
      <c r="B25" s="691"/>
      <c r="C25" s="478">
        <f>'Cash Flow Year 1'!O33-'Cash Flow Year 1'!R33</f>
        <v>0</v>
      </c>
      <c r="D25" s="505" t="str">
        <f t="shared" si="0"/>
        <v xml:space="preserve"> </v>
      </c>
      <c r="E25" s="478">
        <f>'Cash Flow Year 2'!O33-'Cash Flow Year 2'!R33</f>
        <v>0</v>
      </c>
      <c r="F25" s="505" t="str">
        <f t="shared" si="1"/>
        <v xml:space="preserve"> </v>
      </c>
    </row>
    <row r="26" spans="1:6" ht="16.149999999999999" customHeight="1">
      <c r="A26" s="691" t="str">
        <f>'Cash Flow Year 2'!A34</f>
        <v>Fuel for business use</v>
      </c>
      <c r="B26" s="691"/>
      <c r="C26" s="478">
        <f>'Cash Flow Year 1'!O34-'Cash Flow Year 1'!R34</f>
        <v>0</v>
      </c>
      <c r="D26" s="505" t="str">
        <f t="shared" si="0"/>
        <v xml:space="preserve"> </v>
      </c>
      <c r="E26" s="478">
        <f>'Cash Flow Year 2'!O34-'Cash Flow Year 2'!R34</f>
        <v>0</v>
      </c>
      <c r="F26" s="505" t="str">
        <f t="shared" si="1"/>
        <v xml:space="preserve"> </v>
      </c>
    </row>
    <row r="27" spans="1:6" ht="16.149999999999999" customHeight="1">
      <c r="A27" s="691" t="str">
        <f>'Cash Flow Year 2'!A35</f>
        <v>Alternative Home Expenses @ rate per hour
https://www.ato.gov.au/calculators-and-tools/home-office-expenses-calculator/</v>
      </c>
      <c r="B27" s="691"/>
      <c r="C27" s="478">
        <f>'Cash Flow Year 1'!O35-'Cash Flow Year 1'!R35</f>
        <v>0</v>
      </c>
      <c r="D27" s="505" t="str">
        <f t="shared" si="0"/>
        <v xml:space="preserve"> </v>
      </c>
      <c r="E27" s="478">
        <f>'Cash Flow Year 2'!O35-'Cash Flow Year 2'!R35</f>
        <v>0</v>
      </c>
      <c r="F27" s="505" t="str">
        <f t="shared" si="1"/>
        <v xml:space="preserve"> </v>
      </c>
    </row>
    <row r="28" spans="1:6" ht="16.149999999999999" customHeight="1">
      <c r="A28" s="691" t="str">
        <f>'Cash Flow Year 2'!A36</f>
        <v>Market Stall Expenses</v>
      </c>
      <c r="B28" s="691"/>
      <c r="C28" s="478">
        <f>'Cash Flow Year 1'!O36-'Cash Flow Year 1'!R36</f>
        <v>0</v>
      </c>
      <c r="D28" s="505" t="str">
        <f t="shared" si="0"/>
        <v xml:space="preserve"> </v>
      </c>
      <c r="E28" s="478">
        <f>'Cash Flow Year 2'!O36-'Cash Flow Year 2'!R36</f>
        <v>0</v>
      </c>
      <c r="F28" s="505" t="str">
        <f t="shared" si="1"/>
        <v xml:space="preserve"> </v>
      </c>
    </row>
    <row r="29" spans="1:6" ht="16.149999999999999" customHeight="1">
      <c r="A29" s="691" t="str">
        <f>'Cash Flow Year 2'!A37</f>
        <v>Subscriptions</v>
      </c>
      <c r="B29" s="691"/>
      <c r="C29" s="478">
        <f>'Cash Flow Year 1'!O37-'Cash Flow Year 1'!R37</f>
        <v>0</v>
      </c>
      <c r="D29" s="505" t="str">
        <f t="shared" si="0"/>
        <v xml:space="preserve"> </v>
      </c>
      <c r="E29" s="478">
        <f>'Cash Flow Year 2'!O37-'Cash Flow Year 2'!R37</f>
        <v>0</v>
      </c>
      <c r="F29" s="505" t="str">
        <f t="shared" si="1"/>
        <v xml:space="preserve"> </v>
      </c>
    </row>
    <row r="30" spans="1:6" ht="16.149999999999999" customHeight="1">
      <c r="A30" s="691" t="str">
        <f>'Cash Flow Year 2'!A38</f>
        <v>Apps/ Software Subscriptions inc Antivirus</v>
      </c>
      <c r="B30" s="691"/>
      <c r="C30" s="478">
        <f>'Cash Flow Year 1'!O38-'Cash Flow Year 1'!R38</f>
        <v>0</v>
      </c>
      <c r="D30" s="505" t="str">
        <f t="shared" si="0"/>
        <v xml:space="preserve"> </v>
      </c>
      <c r="E30" s="478">
        <f>'Cash Flow Year 2'!O38-'Cash Flow Year 2'!R38</f>
        <v>0</v>
      </c>
      <c r="F30" s="505" t="str">
        <f t="shared" si="1"/>
        <v xml:space="preserve"> </v>
      </c>
    </row>
    <row r="31" spans="1:6" ht="16.149999999999999" customHeight="1">
      <c r="A31" s="691" t="str">
        <f>'Cash Flow Year 2'!A39</f>
        <v>Memberships/ Other Subscriptions</v>
      </c>
      <c r="B31" s="691"/>
      <c r="C31" s="478">
        <f>'Cash Flow Year 1'!O39-'Cash Flow Year 1'!R39</f>
        <v>0</v>
      </c>
      <c r="D31" s="505" t="str">
        <f t="shared" si="0"/>
        <v xml:space="preserve"> </v>
      </c>
      <c r="E31" s="478">
        <f>'Cash Flow Year 2'!O39-'Cash Flow Year 2'!R39</f>
        <v>0</v>
      </c>
      <c r="F31" s="505" t="str">
        <f t="shared" si="1"/>
        <v xml:space="preserve"> </v>
      </c>
    </row>
    <row r="32" spans="1:6" ht="16.149999999999999" customHeight="1">
      <c r="A32" s="691" t="str">
        <f>'Cash Flow Year 2'!A40</f>
        <v>Transport - Public/Hire</v>
      </c>
      <c r="B32" s="691"/>
      <c r="C32" s="478">
        <f>'Cash Flow Year 1'!O40-'Cash Flow Year 1'!R40</f>
        <v>0</v>
      </c>
      <c r="D32" s="505" t="str">
        <f t="shared" si="0"/>
        <v xml:space="preserve"> </v>
      </c>
      <c r="E32" s="478">
        <f>'Cash Flow Year 2'!O40-'Cash Flow Year 2'!R40</f>
        <v>0</v>
      </c>
      <c r="F32" s="505" t="str">
        <f t="shared" si="1"/>
        <v xml:space="preserve"> </v>
      </c>
    </row>
    <row r="33" spans="1:6" ht="16.149999999999999" customHeight="1">
      <c r="A33" s="691" t="str">
        <f>'Cash Flow Year 2'!A41</f>
        <v>Other Travel Expenses</v>
      </c>
      <c r="B33" s="691"/>
      <c r="C33" s="478">
        <f>'Cash Flow Year 1'!O41-'Cash Flow Year 1'!R41</f>
        <v>0</v>
      </c>
      <c r="D33" s="505" t="str">
        <f t="shared" si="0"/>
        <v xml:space="preserve"> </v>
      </c>
      <c r="E33" s="478">
        <f>'Cash Flow Year 2'!O41-'Cash Flow Year 2'!R41</f>
        <v>0</v>
      </c>
      <c r="F33" s="505" t="str">
        <f t="shared" si="1"/>
        <v xml:space="preserve"> </v>
      </c>
    </row>
    <row r="34" spans="1:6" ht="16.149999999999999" customHeight="1">
      <c r="A34" s="691" t="str">
        <f>'Cash Flow Year 2'!A42</f>
        <v>Fees/Licences/Permits</v>
      </c>
      <c r="B34" s="691"/>
      <c r="C34" s="478">
        <f>'Cash Flow Year 1'!O42-'Cash Flow Year 1'!R42</f>
        <v>0</v>
      </c>
      <c r="D34" s="505" t="str">
        <f t="shared" si="0"/>
        <v xml:space="preserve"> </v>
      </c>
      <c r="E34" s="478">
        <f>'Cash Flow Year 2'!O42-'Cash Flow Year 2'!R42</f>
        <v>0</v>
      </c>
      <c r="F34" s="505" t="str">
        <f t="shared" si="1"/>
        <v xml:space="preserve"> </v>
      </c>
    </row>
    <row r="35" spans="1:6" ht="16.149999999999999" customHeight="1">
      <c r="A35" s="691" t="str">
        <f>'Cash Flow Year 2'!A43</f>
        <v>Miscellaneous</v>
      </c>
      <c r="B35" s="691"/>
      <c r="C35" s="478">
        <f>'Cash Flow Year 1'!O43-'Cash Flow Year 1'!R43</f>
        <v>0</v>
      </c>
      <c r="D35" s="505" t="str">
        <f t="shared" si="0"/>
        <v xml:space="preserve"> </v>
      </c>
      <c r="E35" s="478">
        <f>'Cash Flow Year 2'!O43-'Cash Flow Year 2'!R43</f>
        <v>0</v>
      </c>
      <c r="F35" s="505" t="str">
        <f t="shared" si="1"/>
        <v xml:space="preserve"> </v>
      </c>
    </row>
    <row r="36" spans="1:6" ht="16.149999999999999" customHeight="1">
      <c r="A36" s="691" t="str">
        <f>'Cash Flow Year 2'!A44</f>
        <v>Consumables</v>
      </c>
      <c r="B36" s="691"/>
      <c r="C36" s="478">
        <f>'Cash Flow Year 1'!O44-'Cash Flow Year 1'!R44</f>
        <v>0</v>
      </c>
      <c r="D36" s="505" t="str">
        <f t="shared" si="0"/>
        <v xml:space="preserve"> </v>
      </c>
      <c r="E36" s="478">
        <f>'Cash Flow Year 2'!O44-'Cash Flow Year 2'!R44</f>
        <v>0</v>
      </c>
      <c r="F36" s="505" t="str">
        <f t="shared" si="1"/>
        <v xml:space="preserve"> </v>
      </c>
    </row>
    <row r="37" spans="1:6" ht="16.149999999999999" customHeight="1">
      <c r="A37" s="691" t="str">
        <f>'Cash Flow Year 2'!A45</f>
        <v>Professional Development</v>
      </c>
      <c r="B37" s="691"/>
      <c r="C37" s="478">
        <f>'Cash Flow Year 1'!O45-'Cash Flow Year 1'!R45</f>
        <v>0</v>
      </c>
      <c r="D37" s="505" t="str">
        <f t="shared" si="0"/>
        <v xml:space="preserve"> </v>
      </c>
      <c r="E37" s="478">
        <f>'Cash Flow Year 2'!O45-'Cash Flow Year 2'!R45</f>
        <v>0</v>
      </c>
      <c r="F37" s="505" t="str">
        <f t="shared" si="1"/>
        <v xml:space="preserve"> </v>
      </c>
    </row>
    <row r="38" spans="1:6" ht="16.149999999999999" customHeight="1">
      <c r="A38" s="691">
        <f>'Cash Flow Year 2'!A46</f>
        <v>0</v>
      </c>
      <c r="B38" s="691"/>
      <c r="C38" s="478">
        <f>'Cash Flow Year 1'!O46-'Cash Flow Year 1'!R46</f>
        <v>0</v>
      </c>
      <c r="D38" s="505" t="str">
        <f t="shared" si="0"/>
        <v xml:space="preserve"> </v>
      </c>
      <c r="E38" s="478">
        <f>'Cash Flow Year 2'!O46-'Cash Flow Year 2'!R46</f>
        <v>0</v>
      </c>
      <c r="F38" s="505" t="str">
        <f t="shared" si="1"/>
        <v xml:space="preserve"> </v>
      </c>
    </row>
    <row r="39" spans="1:6" ht="16.149999999999999" customHeight="1">
      <c r="A39" s="691" t="str">
        <f>'Cash Flow Year 2'!A47</f>
        <v>Merchant Fees (from Sales Details tab)</v>
      </c>
      <c r="B39" s="691"/>
      <c r="C39" s="478" t="e">
        <f>'Cash Flow Year 1'!O47-'Cash Flow Year 1'!R47</f>
        <v>#VALUE!</v>
      </c>
      <c r="D39" s="505" t="str">
        <f t="shared" si="0"/>
        <v xml:space="preserve"> </v>
      </c>
      <c r="E39" s="478" t="e">
        <f>'Cash Flow Year 2'!O47-'Cash Flow Year 2'!R47</f>
        <v>#VALUE!</v>
      </c>
      <c r="F39" s="505" t="str">
        <f t="shared" si="1"/>
        <v xml:space="preserve"> </v>
      </c>
    </row>
    <row r="40" spans="1:6" ht="16.149999999999999" customHeight="1">
      <c r="A40" s="691">
        <f>'Cash Flow Year 2'!A48</f>
        <v>0</v>
      </c>
      <c r="B40" s="691"/>
      <c r="C40" s="478">
        <f>'Cash Flow Year 1'!O48-'Cash Flow Year 1'!R48</f>
        <v>0</v>
      </c>
      <c r="D40" s="505" t="str">
        <f t="shared" si="0"/>
        <v xml:space="preserve"> </v>
      </c>
      <c r="E40" s="478">
        <f>'Cash Flow Year 2'!O48-'Cash Flow Year 2'!R48</f>
        <v>0</v>
      </c>
      <c r="F40" s="505" t="str">
        <f t="shared" si="1"/>
        <v xml:space="preserve"> </v>
      </c>
    </row>
    <row r="41" spans="1:6" ht="16.149999999999999" customHeight="1">
      <c r="A41" s="691">
        <f>'Cash Flow Year 2'!A49</f>
        <v>0</v>
      </c>
      <c r="B41" s="691"/>
      <c r="C41" s="478">
        <f>'Cash Flow Year 1'!O49-'Cash Flow Year 1'!R49</f>
        <v>0</v>
      </c>
      <c r="D41" s="505" t="str">
        <f t="shared" si="0"/>
        <v xml:space="preserve"> </v>
      </c>
      <c r="E41" s="478">
        <f>'Cash Flow Year 2'!O49-'Cash Flow Year 2'!R49</f>
        <v>0</v>
      </c>
      <c r="F41" s="505" t="str">
        <f t="shared" si="1"/>
        <v xml:space="preserve"> </v>
      </c>
    </row>
    <row r="42" spans="1:6" ht="16.149999999999999" customHeight="1">
      <c r="A42" s="691">
        <f>'Cash Flow Year 2'!A50</f>
        <v>0</v>
      </c>
      <c r="B42" s="691"/>
      <c r="C42" s="478">
        <f>'Cash Flow Year 1'!O50-'Cash Flow Year 1'!R50</f>
        <v>0</v>
      </c>
      <c r="D42" s="505" t="str">
        <f t="shared" si="0"/>
        <v xml:space="preserve"> </v>
      </c>
      <c r="E42" s="478">
        <f>'Cash Flow Year 2'!O50-'Cash Flow Year 2'!R50</f>
        <v>0</v>
      </c>
      <c r="F42" s="505" t="str">
        <f t="shared" si="1"/>
        <v xml:space="preserve"> </v>
      </c>
    </row>
    <row r="43" spans="1:6" ht="16.149999999999999" customHeight="1">
      <c r="A43" s="691">
        <f>'Cash Flow Year 2'!A51</f>
        <v>0</v>
      </c>
      <c r="B43" s="691"/>
      <c r="C43" s="478">
        <f>'Cash Flow Year 1'!O51-'Cash Flow Year 1'!R51</f>
        <v>0</v>
      </c>
      <c r="D43" s="505" t="str">
        <f t="shared" si="0"/>
        <v xml:space="preserve"> </v>
      </c>
      <c r="E43" s="478">
        <f>'Cash Flow Year 2'!O51-'Cash Flow Year 2'!R51</f>
        <v>0</v>
      </c>
      <c r="F43" s="505" t="str">
        <f t="shared" si="1"/>
        <v xml:space="preserve"> </v>
      </c>
    </row>
    <row r="44" spans="1:6" ht="16.149999999999999" customHeight="1">
      <c r="A44" s="691">
        <f>'Cash Flow Year 2'!A52</f>
        <v>0</v>
      </c>
      <c r="B44" s="691"/>
      <c r="C44" s="478">
        <f>'Cash Flow Year 1'!O52-'Cash Flow Year 1'!R52</f>
        <v>0</v>
      </c>
      <c r="D44" s="505" t="str">
        <f t="shared" si="0"/>
        <v xml:space="preserve"> </v>
      </c>
      <c r="E44" s="478">
        <f>'Cash Flow Year 2'!O52-'Cash Flow Year 2'!R52</f>
        <v>0</v>
      </c>
      <c r="F44" s="505" t="str">
        <f t="shared" si="1"/>
        <v xml:space="preserve"> </v>
      </c>
    </row>
    <row r="45" spans="1:6" ht="16.149999999999999" customHeight="1">
      <c r="A45" s="691" t="str">
        <f>'Cash Flow Year 2'!A54</f>
        <v>Household Rent / Mortgage interest</v>
      </c>
      <c r="B45" s="691"/>
      <c r="C45" s="478">
        <f>'Cash Flow Year 1'!O54-'Cash Flow Year 1'!R54</f>
        <v>0</v>
      </c>
      <c r="D45" s="505" t="str">
        <f t="shared" si="0"/>
        <v xml:space="preserve"> </v>
      </c>
      <c r="E45" s="478">
        <f>'Cash Flow Year 2'!O54-'Cash Flow Year 2'!R54</f>
        <v>0</v>
      </c>
      <c r="F45" s="505" t="str">
        <f t="shared" si="1"/>
        <v xml:space="preserve"> </v>
      </c>
    </row>
    <row r="46" spans="1:6" ht="16.149999999999999" customHeight="1">
      <c r="A46" s="691" t="str">
        <f>'Cash Flow Year 2'!A55</f>
        <v>Telephone</v>
      </c>
      <c r="B46" s="691"/>
      <c r="C46" s="478">
        <f>'Cash Flow Year 1'!O55-'Cash Flow Year 1'!R55</f>
        <v>0</v>
      </c>
      <c r="D46" s="505" t="str">
        <f t="shared" si="0"/>
        <v xml:space="preserve"> </v>
      </c>
      <c r="E46" s="478">
        <f>'Cash Flow Year 2'!O55-'Cash Flow Year 2'!R55</f>
        <v>0</v>
      </c>
      <c r="F46" s="505" t="str">
        <f t="shared" si="1"/>
        <v xml:space="preserve"> </v>
      </c>
    </row>
    <row r="47" spans="1:6" ht="16.149999999999999" customHeight="1">
      <c r="A47" s="691" t="str">
        <f>'Cash Flow Year 2'!A56</f>
        <v>Internet</v>
      </c>
      <c r="B47" s="691"/>
      <c r="C47" s="478">
        <f>'Cash Flow Year 1'!O56-'Cash Flow Year 1'!R56</f>
        <v>0</v>
      </c>
      <c r="D47" s="505" t="str">
        <f t="shared" si="0"/>
        <v xml:space="preserve"> </v>
      </c>
      <c r="E47" s="478">
        <f>'Cash Flow Year 2'!O56-'Cash Flow Year 2'!R56</f>
        <v>0</v>
      </c>
      <c r="F47" s="505" t="str">
        <f t="shared" si="1"/>
        <v xml:space="preserve"> </v>
      </c>
    </row>
    <row r="48" spans="1:6" ht="16.149999999999999" customHeight="1">
      <c r="A48" s="691" t="str">
        <f>'Cash Flow Year 2'!A57</f>
        <v>Mobile</v>
      </c>
      <c r="B48" s="691"/>
      <c r="C48" s="478">
        <f>'Cash Flow Year 1'!O57-'Cash Flow Year 1'!R57</f>
        <v>0</v>
      </c>
      <c r="D48" s="505" t="str">
        <f t="shared" si="0"/>
        <v xml:space="preserve"> </v>
      </c>
      <c r="E48" s="478">
        <f>'Cash Flow Year 2'!O57-'Cash Flow Year 2'!R57</f>
        <v>0</v>
      </c>
      <c r="F48" s="505" t="str">
        <f t="shared" si="1"/>
        <v xml:space="preserve"> </v>
      </c>
    </row>
    <row r="49" spans="1:6" ht="16.149999999999999" customHeight="1">
      <c r="A49" s="691" t="str">
        <f>'Cash Flow Year 2'!A58</f>
        <v>Motor vehicle - Running costs (e.g. servicing)</v>
      </c>
      <c r="B49" s="691"/>
      <c r="C49" s="478">
        <f>'Cash Flow Year 1'!O58-'Cash Flow Year 1'!R58</f>
        <v>0</v>
      </c>
      <c r="D49" s="505" t="str">
        <f t="shared" si="0"/>
        <v xml:space="preserve"> </v>
      </c>
      <c r="E49" s="478">
        <f>'Cash Flow Year 2'!O58-'Cash Flow Year 2'!R58</f>
        <v>0</v>
      </c>
      <c r="F49" s="505" t="str">
        <f t="shared" si="1"/>
        <v xml:space="preserve"> </v>
      </c>
    </row>
    <row r="50" spans="1:6" ht="16.149999999999999" customHeight="1">
      <c r="A50" s="691" t="str">
        <f>'Cash Flow Year 2'!A59</f>
        <v>Motor vehicle - Registration</v>
      </c>
      <c r="B50" s="691"/>
      <c r="C50" s="478">
        <f>'Cash Flow Year 1'!O59-'Cash Flow Year 1'!R59</f>
        <v>0</v>
      </c>
      <c r="D50" s="505" t="str">
        <f t="shared" si="0"/>
        <v xml:space="preserve"> </v>
      </c>
      <c r="E50" s="478">
        <f>'Cash Flow Year 2'!O59-'Cash Flow Year 2'!R59</f>
        <v>0</v>
      </c>
      <c r="F50" s="505" t="str">
        <f t="shared" si="1"/>
        <v xml:space="preserve"> </v>
      </c>
    </row>
    <row r="51" spans="1:6" ht="16.149999999999999" customHeight="1">
      <c r="A51" s="691" t="str">
        <f>'Cash Flow Year 2'!A60</f>
        <v>Motor vehicle - Insurance</v>
      </c>
      <c r="B51" s="691"/>
      <c r="C51" s="478">
        <f>'Cash Flow Year 1'!O60-'Cash Flow Year 1'!R60</f>
        <v>0</v>
      </c>
      <c r="D51" s="505" t="str">
        <f t="shared" si="0"/>
        <v xml:space="preserve"> </v>
      </c>
      <c r="E51" s="478">
        <f>'Cash Flow Year 2'!O60-'Cash Flow Year 2'!R60</f>
        <v>0</v>
      </c>
      <c r="F51" s="505" t="str">
        <f t="shared" si="1"/>
        <v xml:space="preserve"> </v>
      </c>
    </row>
    <row r="52" spans="1:6" ht="16.149999999999999" customHeight="1">
      <c r="A52" s="691" t="str">
        <f>'Cash Flow Year 2'!A61</f>
        <v>Motor vehicle  - Lease or loan interest</v>
      </c>
      <c r="B52" s="691"/>
      <c r="C52" s="478">
        <f>'Cash Flow Year 1'!O61-'Cash Flow Year 1'!R61</f>
        <v>0</v>
      </c>
      <c r="D52" s="505" t="str">
        <f t="shared" si="0"/>
        <v xml:space="preserve"> </v>
      </c>
      <c r="E52" s="478">
        <f>'Cash Flow Year 2'!O61-'Cash Flow Year 2'!R61</f>
        <v>0</v>
      </c>
      <c r="F52" s="505" t="str">
        <f t="shared" si="1"/>
        <v xml:space="preserve"> </v>
      </c>
    </row>
    <row r="53" spans="1:6" ht="16.149999999999999" customHeight="1">
      <c r="A53" s="691" t="str">
        <f>'Cash Flow Year 2'!A62</f>
        <v>Utilities - Gas</v>
      </c>
      <c r="B53" s="691"/>
      <c r="C53" s="478">
        <f>'Cash Flow Year 1'!O62-'Cash Flow Year 1'!R62</f>
        <v>0</v>
      </c>
      <c r="D53" s="505" t="str">
        <f t="shared" si="0"/>
        <v xml:space="preserve"> </v>
      </c>
      <c r="E53" s="478">
        <f>'Cash Flow Year 2'!O62-'Cash Flow Year 2'!R62</f>
        <v>0</v>
      </c>
      <c r="F53" s="505" t="str">
        <f t="shared" si="1"/>
        <v xml:space="preserve"> </v>
      </c>
    </row>
    <row r="54" spans="1:6" ht="16.149999999999999" customHeight="1">
      <c r="A54" s="691" t="str">
        <f>'Cash Flow Year 2'!A63</f>
        <v>Utilities - Electircity</v>
      </c>
      <c r="B54" s="691"/>
      <c r="C54" s="478">
        <f>'Cash Flow Year 1'!O63-'Cash Flow Year 1'!R63</f>
        <v>0</v>
      </c>
      <c r="D54" s="505" t="str">
        <f t="shared" si="0"/>
        <v xml:space="preserve"> </v>
      </c>
      <c r="E54" s="478">
        <f>'Cash Flow Year 2'!O63-'Cash Flow Year 2'!R63</f>
        <v>0</v>
      </c>
      <c r="F54" s="505" t="str">
        <f t="shared" si="1"/>
        <v xml:space="preserve"> </v>
      </c>
    </row>
    <row r="55" spans="1:6" ht="16.149999999999999" customHeight="1">
      <c r="A55" s="691" t="str">
        <f>'Cash Flow Year 2'!A64</f>
        <v>Utilities - Water</v>
      </c>
      <c r="B55" s="691"/>
      <c r="C55" s="478">
        <f>'Cash Flow Year 1'!O64-'Cash Flow Year 1'!R64</f>
        <v>0</v>
      </c>
      <c r="D55" s="505" t="str">
        <f t="shared" si="0"/>
        <v xml:space="preserve"> </v>
      </c>
      <c r="E55" s="478">
        <f>'Cash Flow Year 2'!O64-'Cash Flow Year 2'!R64</f>
        <v>0</v>
      </c>
      <c r="F55" s="505" t="str">
        <f t="shared" si="1"/>
        <v xml:space="preserve"> </v>
      </c>
    </row>
    <row r="56" spans="1:6" ht="16.149999999999999" customHeight="1">
      <c r="A56" s="691">
        <f>'Cash Flow Year 2'!A65</f>
        <v>0</v>
      </c>
      <c r="B56" s="691"/>
      <c r="C56" s="478">
        <f>'Cash Flow Year 1'!O65-'Cash Flow Year 1'!R65</f>
        <v>0</v>
      </c>
      <c r="D56" s="505" t="str">
        <f t="shared" si="0"/>
        <v xml:space="preserve"> </v>
      </c>
      <c r="E56" s="478">
        <f>'Cash Flow Year 2'!O65-'Cash Flow Year 2'!R65</f>
        <v>0</v>
      </c>
      <c r="F56" s="505" t="str">
        <f t="shared" si="1"/>
        <v xml:space="preserve"> </v>
      </c>
    </row>
    <row r="57" spans="1:6" ht="16.149999999999999" customHeight="1">
      <c r="A57" s="691" t="str">
        <f>'Cash Flow Year 2'!A66</f>
        <v>Total Cash Payments</v>
      </c>
      <c r="B57" s="691"/>
      <c r="C57" s="478">
        <f>'Cash Flow Year 1'!O66-'Cash Flow Year 1'!R66</f>
        <v>0</v>
      </c>
      <c r="D57" s="505" t="str">
        <f t="shared" si="0"/>
        <v xml:space="preserve"> </v>
      </c>
      <c r="E57" s="478">
        <f>'Cash Flow Year 2'!O66-'Cash Flow Year 2'!R66</f>
        <v>0</v>
      </c>
      <c r="F57" s="505" t="str">
        <f t="shared" si="1"/>
        <v xml:space="preserve"> </v>
      </c>
    </row>
    <row r="58" spans="1:6" ht="16.149999999999999" customHeight="1">
      <c r="A58" s="691">
        <f>'Cash Flow Year 2'!A67</f>
        <v>0</v>
      </c>
      <c r="B58" s="691"/>
      <c r="C58" s="478">
        <f>'Cash Flow Year 1'!O67-'Cash Flow Year 1'!R67</f>
        <v>0</v>
      </c>
      <c r="D58" s="505" t="str">
        <f t="shared" si="0"/>
        <v xml:space="preserve"> </v>
      </c>
      <c r="E58" s="478">
        <f>'Cash Flow Year 2'!O67-'Cash Flow Year 2'!R67</f>
        <v>0</v>
      </c>
      <c r="F58" s="505" t="str">
        <f t="shared" si="1"/>
        <v xml:space="preserve"> </v>
      </c>
    </row>
    <row r="59" spans="1:6" ht="16.149999999999999" customHeight="1">
      <c r="A59" s="691" t="str">
        <f>'Cash Flow Year 2'!A68</f>
        <v>Bank Charges</v>
      </c>
      <c r="B59" s="691"/>
      <c r="C59" s="478">
        <f>'Cash Flow Year 1'!O68-'Cash Flow Year 1'!R68</f>
        <v>0</v>
      </c>
      <c r="D59" s="505" t="str">
        <f t="shared" si="0"/>
        <v xml:space="preserve"> </v>
      </c>
      <c r="E59" s="478">
        <f>'Cash Flow Year 2'!O68-'Cash Flow Year 2'!R68</f>
        <v>0</v>
      </c>
      <c r="F59" s="505" t="str">
        <f t="shared" si="1"/>
        <v xml:space="preserve"> </v>
      </c>
    </row>
    <row r="60" spans="1:6" ht="16.149999999999999" customHeight="1">
      <c r="A60" s="691" t="str">
        <f>'Cash Flow Year 2'!A69</f>
        <v>Wages &amp; salaries</v>
      </c>
      <c r="B60" s="691"/>
      <c r="C60" s="478">
        <f>'Cash Flow Year 1'!O69-'Cash Flow Year 1'!R69</f>
        <v>0</v>
      </c>
      <c r="D60" s="505" t="str">
        <f t="shared" si="0"/>
        <v xml:space="preserve"> </v>
      </c>
      <c r="E60" s="478">
        <f>'Cash Flow Year 2'!O69-'Cash Flow Year 2'!R69</f>
        <v>0</v>
      </c>
      <c r="F60" s="505" t="str">
        <f t="shared" si="1"/>
        <v xml:space="preserve"> </v>
      </c>
    </row>
    <row r="61" spans="1:6" ht="16.149999999999999" customHeight="1">
      <c r="A61" s="691" t="str">
        <f>'Cash Flow Year 2'!A70</f>
        <v>Directors Salaries</v>
      </c>
      <c r="B61" s="691"/>
      <c r="C61" s="478">
        <f>'Cash Flow Year 1'!O70-'Cash Flow Year 1'!R70</f>
        <v>0</v>
      </c>
      <c r="D61" s="505" t="str">
        <f t="shared" si="0"/>
        <v xml:space="preserve"> </v>
      </c>
      <c r="E61" s="478">
        <f>'Cash Flow Year 2'!O70-'Cash Flow Year 2'!R70</f>
        <v>0</v>
      </c>
      <c r="F61" s="505" t="str">
        <f t="shared" si="1"/>
        <v xml:space="preserve"> </v>
      </c>
    </row>
    <row r="62" spans="1:6" ht="16.149999999999999" customHeight="1">
      <c r="A62" s="691" t="str">
        <f>'Cash Flow Year 2'!A71</f>
        <v>Wage on-costs (Superannuation / Workcover)</v>
      </c>
      <c r="B62" s="691"/>
      <c r="C62" s="478">
        <f>'Cash Flow Year 1'!O71-'Cash Flow Year 1'!R71</f>
        <v>0</v>
      </c>
      <c r="D62" s="505" t="str">
        <f t="shared" si="0"/>
        <v xml:space="preserve"> </v>
      </c>
      <c r="E62" s="478">
        <f>'Cash Flow Year 2'!O71-'Cash Flow Year 2'!R71</f>
        <v>0</v>
      </c>
      <c r="F62" s="505" t="str">
        <f t="shared" si="1"/>
        <v xml:space="preserve"> </v>
      </c>
    </row>
    <row r="63" spans="1:6" ht="16.149999999999999" customHeight="1">
      <c r="A63" s="691">
        <f>'Cash Flow Year 2'!A72</f>
        <v>0</v>
      </c>
      <c r="B63" s="691"/>
      <c r="C63" s="478">
        <f>'Cash Flow Year 1'!O72-'Cash Flow Year 1'!R72</f>
        <v>0</v>
      </c>
      <c r="D63" s="505" t="str">
        <f t="shared" si="0"/>
        <v xml:space="preserve"> </v>
      </c>
      <c r="E63" s="478">
        <f>'Cash Flow Year 2'!O72-'Cash Flow Year 2'!R72</f>
        <v>0</v>
      </c>
      <c r="F63" s="505" t="str">
        <f t="shared" si="1"/>
        <v xml:space="preserve"> </v>
      </c>
    </row>
    <row r="64" spans="1:6" ht="16.149999999999999" customHeight="1" thickBot="1">
      <c r="A64" s="691">
        <f>'Cash Flow Year 2'!A73</f>
        <v>0</v>
      </c>
      <c r="B64" s="691"/>
      <c r="C64" s="478">
        <f>'Cash Flow Year 1'!O73-'Cash Flow Year 1'!R73</f>
        <v>0</v>
      </c>
      <c r="D64" s="505" t="str">
        <f t="shared" si="0"/>
        <v xml:space="preserve"> </v>
      </c>
      <c r="E64" s="478">
        <f>'Cash Flow Year 2'!O73-'Cash Flow Year 2'!R73</f>
        <v>0</v>
      </c>
      <c r="F64" s="505" t="str">
        <f t="shared" si="1"/>
        <v xml:space="preserve"> </v>
      </c>
    </row>
    <row r="65" spans="1:6" ht="16.149999999999999" customHeight="1" thickBot="1">
      <c r="A65" s="645" t="s">
        <v>295</v>
      </c>
      <c r="B65" s="645"/>
      <c r="C65" s="445" t="e">
        <f>SUM(C19:C64)</f>
        <v>#VALUE!</v>
      </c>
      <c r="D65" s="504">
        <f>IF(C$7&gt;0,C65/C$7,0)</f>
        <v>0</v>
      </c>
      <c r="E65" s="445" t="e">
        <f>SUM(E19:E64)</f>
        <v>#VALUE!</v>
      </c>
      <c r="F65" s="504">
        <f>IF(E$7&gt;0,E65/E$7,0)</f>
        <v>0</v>
      </c>
    </row>
    <row r="66" spans="1:6" ht="16.149999999999999" customHeight="1">
      <c r="A66" s="692"/>
      <c r="B66" s="692"/>
      <c r="D66" s="278"/>
      <c r="F66" s="278"/>
    </row>
    <row r="67" spans="1:6" ht="16.149999999999999" customHeight="1">
      <c r="A67" s="666" t="s">
        <v>326</v>
      </c>
      <c r="B67" s="666"/>
      <c r="C67" s="478" t="e">
        <f>ROUND(C16-C65,0)</f>
        <v>#VALUE!</v>
      </c>
      <c r="D67" s="505">
        <f>IF(C$7&gt;0,C67/C$7,0)</f>
        <v>0</v>
      </c>
      <c r="E67" s="478" t="e">
        <f>ROUND(E16-E65,0)</f>
        <v>#VALUE!</v>
      </c>
      <c r="F67" s="505">
        <f>IF(E$7&gt;0,E67/E$7,0)</f>
        <v>0</v>
      </c>
    </row>
    <row r="68" spans="1:6" ht="16.149999999999999" customHeight="1">
      <c r="A68" s="691" t="s">
        <v>327</v>
      </c>
      <c r="B68" s="691"/>
      <c r="C68" s="478">
        <f>'Balance Sheets'!B39+'Balance Sheets'!B41+'Balance Sheets'!B43+'Balance Sheets'!B45+'Balance Sheets'!B47+'Balance Sheets'!B49+'Balance Sheets'!B51+'Balance Sheets'!B53+'Balance Sheets'!B55</f>
        <v>0</v>
      </c>
      <c r="D68" s="505" t="str">
        <f>IF(C$7&gt;0,C68/C$7," ")</f>
        <v xml:space="preserve"> </v>
      </c>
      <c r="E68" s="478">
        <f>'Balance Sheets'!B68+'Balance Sheets'!B70+'Balance Sheets'!B72+'Balance Sheets'!B74+'Balance Sheets'!B76+'Balance Sheets'!B78+'Balance Sheets'!B80+'Balance Sheets'!B82+'Balance Sheets'!B84</f>
        <v>0</v>
      </c>
      <c r="F68" s="505" t="str">
        <f>IF(E$7&gt;0,E68/E$7," ")</f>
        <v xml:space="preserve"> </v>
      </c>
    </row>
    <row r="69" spans="1:6" ht="16.149999999999999" customHeight="1">
      <c r="A69" s="691" t="s">
        <v>328</v>
      </c>
      <c r="B69" s="691"/>
      <c r="C69" s="478">
        <f>'Business Loans'!H15+'Business Loans'!H32+'Assets and Depreciation'!V10</f>
        <v>0</v>
      </c>
      <c r="D69" s="505" t="str">
        <f>IF($C$7&gt;0,C69/$C$7," ")</f>
        <v xml:space="preserve"> </v>
      </c>
      <c r="E69" s="478">
        <f>'Business Loans'!H16+'Business Loans'!H33+'Assets and Depreciation'!V11</f>
        <v>0</v>
      </c>
      <c r="F69" s="505" t="str">
        <f>IF(E$7&gt;0,E69/E$7," ")</f>
        <v xml:space="preserve"> </v>
      </c>
    </row>
    <row r="70" spans="1:6" ht="16.149999999999999" customHeight="1">
      <c r="A70" s="666" t="s">
        <v>329</v>
      </c>
      <c r="B70" s="666"/>
      <c r="C70" s="478" t="e">
        <f>SUM(C67-C68-C69)</f>
        <v>#VALUE!</v>
      </c>
      <c r="D70" s="505">
        <f>IF(C$7&gt;0,C70/C$7,0)</f>
        <v>0</v>
      </c>
      <c r="E70" s="478" t="e">
        <f>ROUND((E67-E68-E69),0)</f>
        <v>#VALUE!</v>
      </c>
      <c r="F70" s="505">
        <f>IF(E$7&gt;0,E70/E$7,0)</f>
        <v>0</v>
      </c>
    </row>
    <row r="71" spans="1:6" ht="16.149999999999999" customHeight="1">
      <c r="A71" s="691" t="s">
        <v>330</v>
      </c>
      <c r="B71" s="691"/>
      <c r="C71" s="478" t="e">
        <f>ROUND('Tables and Calculations'!G25,0)</f>
        <v>#VALUE!</v>
      </c>
      <c r="D71" s="505" t="str">
        <f>IF(C$7&gt;0,C71/C$7," ")</f>
        <v xml:space="preserve"> </v>
      </c>
      <c r="E71" s="478" t="e">
        <f>IF(E65&gt;1,'Tables and Calculations'!H25,0)</f>
        <v>#VALUE!</v>
      </c>
      <c r="F71" s="505" t="str">
        <f>IF(E$7&gt;0,E71/E$7," ")</f>
        <v xml:space="preserve"> </v>
      </c>
    </row>
    <row r="72" spans="1:6" ht="16.149999999999999" customHeight="1" thickBot="1">
      <c r="A72" s="666" t="s">
        <v>331</v>
      </c>
      <c r="B72" s="666"/>
      <c r="C72" s="478" t="e">
        <f>ROUND(C70-C71,0)</f>
        <v>#VALUE!</v>
      </c>
      <c r="D72" s="505">
        <f>IF(C$7&gt;0,C72/C$7,0)</f>
        <v>0</v>
      </c>
      <c r="E72" s="478" t="e">
        <f>E70-E71</f>
        <v>#VALUE!</v>
      </c>
      <c r="F72" s="505">
        <f>IF(E$7&gt;0,E72/E$7,0)</f>
        <v>0</v>
      </c>
    </row>
    <row r="73" spans="1:6" ht="16.149999999999999" customHeight="1">
      <c r="D73" s="279"/>
    </row>
    <row r="74" spans="1:6" ht="16.149999999999999" customHeight="1"/>
    <row r="75" spans="1:6" ht="21.75" customHeight="1"/>
    <row r="76" spans="1:6" ht="33" customHeight="1"/>
    <row r="77" spans="1:6" ht="37.5" customHeight="1"/>
    <row r="78" spans="1:6" ht="37.5" customHeight="1"/>
    <row r="79" spans="1:6" ht="12.75" customHeight="1"/>
  </sheetData>
  <mergeCells count="70">
    <mergeCell ref="A8:B8"/>
    <mergeCell ref="B1:F1"/>
    <mergeCell ref="A3:F3"/>
    <mergeCell ref="A5:B5"/>
    <mergeCell ref="A6:B6"/>
    <mergeCell ref="A7:B7"/>
    <mergeCell ref="A20:B20"/>
    <mergeCell ref="A9:F9"/>
    <mergeCell ref="A10:B10"/>
    <mergeCell ref="A11:B11"/>
    <mergeCell ref="A12:B12"/>
    <mergeCell ref="A13:B13"/>
    <mergeCell ref="A14:B14"/>
    <mergeCell ref="A15:B15"/>
    <mergeCell ref="A16:B16"/>
    <mergeCell ref="A17:B17"/>
    <mergeCell ref="A18:F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67:B67"/>
    <mergeCell ref="A56:B56"/>
    <mergeCell ref="A45:B45"/>
    <mergeCell ref="A46:B46"/>
    <mergeCell ref="A47:B47"/>
    <mergeCell ref="A48:B48"/>
    <mergeCell ref="A49:B49"/>
    <mergeCell ref="A50:B50"/>
    <mergeCell ref="A51:B51"/>
    <mergeCell ref="A52:B52"/>
    <mergeCell ref="A53:B53"/>
    <mergeCell ref="A54:B54"/>
    <mergeCell ref="A55:B55"/>
    <mergeCell ref="A62:B62"/>
    <mergeCell ref="A63:B63"/>
    <mergeCell ref="A64:B64"/>
    <mergeCell ref="A65:B65"/>
    <mergeCell ref="A66:B66"/>
    <mergeCell ref="A57:B57"/>
    <mergeCell ref="A58:B58"/>
    <mergeCell ref="A59:B59"/>
    <mergeCell ref="A60:B60"/>
    <mergeCell ref="A61:B61"/>
    <mergeCell ref="A69:B69"/>
    <mergeCell ref="A70:B70"/>
    <mergeCell ref="A71:B71"/>
    <mergeCell ref="A72:B72"/>
    <mergeCell ref="A68:B68"/>
  </mergeCells>
  <printOptions horizontalCentered="1"/>
  <pageMargins left="0.25" right="0.25" top="0.75" bottom="0.75" header="0.3" footer="0.3"/>
  <pageSetup paperSize="9" scale="55" orientation="portrait" r:id="rId1"/>
  <headerFooter alignWithMargins="0">
    <oddHeader>&amp;L&amp;A&amp;CSelf-Employment Assistance</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FB97-4EF0-46B2-92A0-987E0B7C4A6D}">
  <sheetPr codeName="Sheet21">
    <tabColor rgb="FF92D050"/>
    <pageSetUpPr fitToPage="1"/>
  </sheetPr>
  <dimension ref="A1:K92"/>
  <sheetViews>
    <sheetView topLeftCell="A52" zoomScale="79" zoomScaleNormal="79" workbookViewId="0">
      <selection activeCell="M35" sqref="M35"/>
    </sheetView>
  </sheetViews>
  <sheetFormatPr defaultColWidth="8.7109375" defaultRowHeight="21" customHeight="1"/>
  <cols>
    <col min="1" max="1" width="35" style="196" customWidth="1"/>
    <col min="2" max="2" width="17.42578125" style="196" customWidth="1"/>
    <col min="3" max="4" width="15.7109375" style="196" customWidth="1"/>
    <col min="5" max="6" width="8.7109375" style="196"/>
    <col min="7" max="7" width="19.5703125" style="196" customWidth="1"/>
    <col min="8" max="8" width="18.7109375" style="196" customWidth="1"/>
    <col min="9" max="9" width="21.28515625" style="196" customWidth="1"/>
    <col min="10" max="10" width="11.42578125" style="196" hidden="1" customWidth="1"/>
    <col min="11" max="16384" width="8.7109375" style="196"/>
  </cols>
  <sheetData>
    <row r="1" spans="1:9" ht="27.6" customHeight="1">
      <c r="A1" s="421" t="s">
        <v>249</v>
      </c>
      <c r="B1" s="583" t="str">
        <f>'Set Up Details'!C2</f>
        <v>Test1</v>
      </c>
      <c r="C1" s="583"/>
      <c r="D1" s="583"/>
      <c r="E1" s="583"/>
      <c r="F1" s="583"/>
      <c r="G1" s="583"/>
      <c r="H1" s="583"/>
      <c r="I1" s="583"/>
    </row>
    <row r="2" spans="1:9" ht="15" customHeight="1"/>
    <row r="3" spans="1:9" ht="26.65" customHeight="1">
      <c r="A3" s="705" t="s">
        <v>332</v>
      </c>
      <c r="B3" s="705"/>
      <c r="C3" s="705"/>
      <c r="D3" s="705"/>
      <c r="E3" s="705"/>
      <c r="F3" s="705"/>
      <c r="G3" s="705"/>
      <c r="H3" s="705"/>
      <c r="I3" s="705"/>
    </row>
    <row r="4" spans="1:9" ht="21" customHeight="1">
      <c r="A4" s="666" t="s">
        <v>333</v>
      </c>
      <c r="B4" s="666"/>
      <c r="C4" s="666"/>
      <c r="D4" s="666"/>
      <c r="E4" s="666" t="s">
        <v>334</v>
      </c>
      <c r="F4" s="666"/>
      <c r="G4" s="666"/>
      <c r="H4" s="666"/>
      <c r="I4" s="666"/>
    </row>
    <row r="5" spans="1:9" ht="23.65" customHeight="1">
      <c r="A5" s="506" t="s">
        <v>119</v>
      </c>
      <c r="B5" s="506"/>
      <c r="C5" s="506"/>
      <c r="D5" s="506"/>
      <c r="E5" s="703" t="s">
        <v>335</v>
      </c>
      <c r="F5" s="703"/>
      <c r="G5" s="703"/>
      <c r="H5" s="506"/>
      <c r="I5" s="506"/>
    </row>
    <row r="6" spans="1:9" ht="21" customHeight="1" thickBot="1">
      <c r="A6" s="694" t="str">
        <f>'Assets and Depreciation'!$A$17</f>
        <v>Opening Bank Balance</v>
      </c>
      <c r="B6" s="695"/>
      <c r="C6" s="443">
        <f>'Assets and Depreciation'!B17</f>
        <v>0</v>
      </c>
      <c r="D6" s="39"/>
      <c r="E6" s="694" t="s">
        <v>336</v>
      </c>
      <c r="F6" s="697"/>
      <c r="G6" s="695"/>
      <c r="H6" s="443">
        <f>'Assets and Depreciation'!Q5</f>
        <v>0</v>
      </c>
      <c r="I6" s="280"/>
    </row>
    <row r="7" spans="1:9" ht="21" customHeight="1" thickBot="1">
      <c r="A7" s="694" t="str">
        <f>'Assets and Depreciation'!$A$18</f>
        <v>Value of Opening Stock</v>
      </c>
      <c r="B7" s="695"/>
      <c r="C7" s="443">
        <f>'Assets and Depreciation'!B18</f>
        <v>0</v>
      </c>
      <c r="D7" s="39"/>
      <c r="E7" s="694" t="s">
        <v>337</v>
      </c>
      <c r="F7" s="697"/>
      <c r="G7" s="695"/>
      <c r="H7" s="443"/>
      <c r="I7" s="445">
        <f>SUM(H6:H7)</f>
        <v>0</v>
      </c>
    </row>
    <row r="8" spans="1:9" ht="21" customHeight="1" thickBot="1">
      <c r="A8" s="694" t="str">
        <f>'Assets and Depreciation'!$A$19</f>
        <v>Debtors</v>
      </c>
      <c r="B8" s="695"/>
      <c r="C8" s="443">
        <f>'Assets and Depreciation'!B19</f>
        <v>0</v>
      </c>
      <c r="D8" s="445">
        <f>SUM(C6:C8)</f>
        <v>0</v>
      </c>
      <c r="E8" s="696"/>
      <c r="F8" s="697"/>
      <c r="G8" s="695"/>
      <c r="H8" s="443"/>
      <c r="I8" s="280"/>
    </row>
    <row r="9" spans="1:9" ht="21" customHeight="1">
      <c r="A9" s="694"/>
      <c r="B9" s="695"/>
      <c r="C9" s="443"/>
      <c r="D9" s="39"/>
      <c r="E9" s="694"/>
      <c r="F9" s="697"/>
      <c r="G9" s="695"/>
      <c r="H9" s="443"/>
      <c r="I9" s="280"/>
    </row>
    <row r="10" spans="1:9" ht="21" customHeight="1">
      <c r="A10" s="442" t="s">
        <v>338</v>
      </c>
      <c r="B10" s="442"/>
      <c r="C10" s="442"/>
      <c r="D10" s="442"/>
      <c r="E10" s="670" t="s">
        <v>339</v>
      </c>
      <c r="F10" s="670"/>
      <c r="G10" s="670"/>
      <c r="H10" s="442"/>
      <c r="I10" s="442"/>
    </row>
    <row r="11" spans="1:9" ht="21" customHeight="1">
      <c r="A11" s="507" t="str">
        <f>'Assets and Depreciation'!$A$5</f>
        <v>Office Furniture</v>
      </c>
      <c r="B11" s="443">
        <v>0</v>
      </c>
      <c r="C11" s="39"/>
      <c r="D11" s="39"/>
      <c r="E11" s="588" t="s">
        <v>340</v>
      </c>
      <c r="F11" s="588"/>
      <c r="G11" s="588"/>
      <c r="H11" s="39"/>
      <c r="I11" s="443">
        <f>'Assets and Depreciation'!Q7</f>
        <v>0</v>
      </c>
    </row>
    <row r="12" spans="1:9" ht="21" customHeight="1">
      <c r="A12" s="489" t="s">
        <v>341</v>
      </c>
      <c r="B12" s="443"/>
      <c r="C12" s="39">
        <f>B11-B12</f>
        <v>0</v>
      </c>
      <c r="D12" s="39"/>
      <c r="E12" s="281"/>
      <c r="H12" s="39"/>
      <c r="I12" s="280"/>
    </row>
    <row r="13" spans="1:9" ht="21" customHeight="1">
      <c r="A13" s="507" t="str">
        <f>'Assets and Depreciation'!A6</f>
        <v>Computer Equipment</v>
      </c>
      <c r="B13" s="443">
        <f>'Assets and Depreciation'!E6</f>
        <v>0</v>
      </c>
      <c r="C13" s="39"/>
      <c r="D13" s="39"/>
      <c r="E13" s="281"/>
      <c r="H13" s="39"/>
      <c r="I13" s="280"/>
    </row>
    <row r="14" spans="1:9" ht="21" customHeight="1">
      <c r="A14" s="489" t="s">
        <v>341</v>
      </c>
      <c r="B14" s="443"/>
      <c r="C14" s="39">
        <f>B13-B14</f>
        <v>0</v>
      </c>
      <c r="D14" s="39"/>
      <c r="E14" s="670" t="s">
        <v>342</v>
      </c>
      <c r="F14" s="670"/>
      <c r="G14" s="670"/>
      <c r="H14" s="442"/>
      <c r="I14" s="442"/>
    </row>
    <row r="15" spans="1:9" ht="21" customHeight="1">
      <c r="A15" s="507" t="str">
        <f>'Assets and Depreciation'!$A$7</f>
        <v>Motor Vehicle</v>
      </c>
      <c r="B15" s="443">
        <f>'Assets and Depreciation'!E7</f>
        <v>0</v>
      </c>
      <c r="C15" s="39"/>
      <c r="D15" s="39"/>
      <c r="E15" s="588" t="s">
        <v>343</v>
      </c>
      <c r="F15" s="588"/>
      <c r="G15" s="588"/>
      <c r="H15" s="39"/>
      <c r="I15" s="443">
        <f>'Balance Sheets'!D28-'Balance Sheets'!I7-'Balance Sheets'!I11</f>
        <v>0</v>
      </c>
    </row>
    <row r="16" spans="1:9" ht="21" customHeight="1">
      <c r="A16" s="489" t="s">
        <v>341</v>
      </c>
      <c r="B16" s="443"/>
      <c r="C16" s="39">
        <f>B15-B16</f>
        <v>0</v>
      </c>
      <c r="D16" s="39"/>
      <c r="E16" s="281"/>
      <c r="H16" s="39"/>
      <c r="I16" s="280"/>
    </row>
    <row r="17" spans="1:10" ht="21" customHeight="1">
      <c r="A17" s="507" t="str">
        <f>'Assets and Depreciation'!$A$8</f>
        <v>Tools</v>
      </c>
      <c r="B17" s="443">
        <f>'Assets and Depreciation'!E8</f>
        <v>0</v>
      </c>
      <c r="C17" s="39"/>
      <c r="D17" s="39"/>
      <c r="E17" s="281"/>
      <c r="H17" s="39"/>
      <c r="I17" s="280"/>
    </row>
    <row r="18" spans="1:10" ht="21" customHeight="1">
      <c r="A18" s="489" t="s">
        <v>341</v>
      </c>
      <c r="B18" s="443"/>
      <c r="C18" s="39">
        <f>B17-B18</f>
        <v>0</v>
      </c>
      <c r="E18" s="281"/>
      <c r="H18" s="39"/>
      <c r="I18" s="280"/>
    </row>
    <row r="19" spans="1:10" ht="21" customHeight="1">
      <c r="A19" s="507" t="str">
        <f>'Assets and Depreciation'!$A$9</f>
        <v>Mobile Phone</v>
      </c>
      <c r="B19" s="443">
        <f>'Assets and Depreciation'!E9</f>
        <v>0</v>
      </c>
      <c r="C19" s="39"/>
      <c r="D19" s="39"/>
      <c r="E19" s="281"/>
      <c r="H19" s="39"/>
      <c r="I19" s="280"/>
    </row>
    <row r="20" spans="1:10" ht="21" customHeight="1">
      <c r="A20" s="489" t="s">
        <v>341</v>
      </c>
      <c r="B20" s="443"/>
      <c r="C20" s="39">
        <f>B19-B20</f>
        <v>0</v>
      </c>
      <c r="D20" s="39"/>
      <c r="E20" s="281"/>
      <c r="H20" s="39"/>
      <c r="I20" s="280"/>
    </row>
    <row r="21" spans="1:10" ht="21" customHeight="1">
      <c r="A21" s="507">
        <f>'Assets and Depreciation'!$A$10</f>
        <v>0</v>
      </c>
      <c r="B21" s="443">
        <f>'Assets and Depreciation'!E10</f>
        <v>0</v>
      </c>
      <c r="C21" s="39"/>
      <c r="D21" s="39"/>
      <c r="E21" s="281"/>
      <c r="H21" s="39"/>
      <c r="I21" s="280"/>
    </row>
    <row r="22" spans="1:10" ht="21" customHeight="1">
      <c r="A22" s="444" t="s">
        <v>341</v>
      </c>
      <c r="B22" s="443"/>
      <c r="C22" s="39">
        <f>B21-B22</f>
        <v>0</v>
      </c>
      <c r="D22" s="39"/>
      <c r="E22" s="281"/>
      <c r="H22" s="39"/>
      <c r="I22" s="280"/>
    </row>
    <row r="23" spans="1:10" ht="21" customHeight="1">
      <c r="A23" s="507">
        <f>'Assets and Depreciation'!$A$11</f>
        <v>0</v>
      </c>
      <c r="B23" s="443">
        <f>'Assets and Depreciation'!E11</f>
        <v>0</v>
      </c>
      <c r="C23" s="39"/>
      <c r="D23" s="39"/>
      <c r="E23" s="281"/>
      <c r="H23" s="39"/>
      <c r="I23" s="280"/>
    </row>
    <row r="24" spans="1:10" ht="21" customHeight="1">
      <c r="A24" s="444" t="s">
        <v>341</v>
      </c>
      <c r="B24" s="443"/>
      <c r="C24" s="39">
        <f>B23-B24</f>
        <v>0</v>
      </c>
      <c r="D24" s="39"/>
      <c r="E24" s="281"/>
      <c r="H24" s="39"/>
      <c r="I24" s="280"/>
    </row>
    <row r="25" spans="1:10" ht="21" customHeight="1" thickBot="1">
      <c r="A25" s="507">
        <f>'Assets and Depreciation'!$A$12</f>
        <v>0</v>
      </c>
      <c r="B25" s="443">
        <f>'Assets and Depreciation'!E12</f>
        <v>0</v>
      </c>
      <c r="C25" s="39"/>
      <c r="D25" s="39"/>
      <c r="E25" s="281"/>
      <c r="H25" s="39"/>
      <c r="I25" s="280"/>
    </row>
    <row r="26" spans="1:10" ht="21" customHeight="1" thickBot="1">
      <c r="A26" s="444" t="s">
        <v>341</v>
      </c>
      <c r="B26" s="443"/>
      <c r="C26" s="39">
        <f>B25-B26</f>
        <v>0</v>
      </c>
      <c r="D26" s="445">
        <f>SUM(C12:C26)</f>
        <v>0</v>
      </c>
      <c r="E26" s="281"/>
      <c r="H26" s="39"/>
      <c r="I26" s="280"/>
    </row>
    <row r="27" spans="1:10" ht="21" customHeight="1" thickBot="1">
      <c r="A27" s="444"/>
      <c r="B27" s="443"/>
      <c r="C27" s="39"/>
      <c r="D27" s="39"/>
      <c r="E27" s="281"/>
      <c r="H27" s="39"/>
      <c r="I27" s="280"/>
    </row>
    <row r="28" spans="1:10" ht="21" customHeight="1" thickBot="1">
      <c r="A28" s="674" t="s">
        <v>344</v>
      </c>
      <c r="B28" s="674"/>
      <c r="C28" s="674"/>
      <c r="D28" s="445">
        <f>ROUND(SUM(D8:D26),0)</f>
        <v>0</v>
      </c>
      <c r="E28" s="674" t="s">
        <v>345</v>
      </c>
      <c r="F28" s="674"/>
      <c r="G28" s="674"/>
      <c r="H28" s="674"/>
      <c r="I28" s="445">
        <f>ROUND(SUM(I7:I27),0)</f>
        <v>0</v>
      </c>
      <c r="J28" s="227">
        <f>SUM(D28-I28)</f>
        <v>0</v>
      </c>
    </row>
    <row r="29" spans="1:10" ht="25.9" customHeight="1" thickBot="1">
      <c r="E29" s="700" t="str">
        <f>IF(OR(J28&gt;1,J28&lt;-1),"Balance Sheet does not balance"," ")</f>
        <v xml:space="preserve"> </v>
      </c>
      <c r="F29" s="701"/>
      <c r="G29" s="701"/>
      <c r="H29" s="701"/>
      <c r="I29" s="702"/>
    </row>
    <row r="30" spans="1:10" ht="24.6" customHeight="1">
      <c r="A30" s="526" t="s">
        <v>346</v>
      </c>
      <c r="B30" s="526"/>
      <c r="C30" s="526"/>
      <c r="D30" s="526"/>
      <c r="E30" s="526"/>
      <c r="F30" s="526"/>
      <c r="G30" s="526"/>
      <c r="H30" s="526"/>
      <c r="I30" s="526"/>
    </row>
    <row r="31" spans="1:10" ht="21" customHeight="1">
      <c r="A31" s="666" t="s">
        <v>333</v>
      </c>
      <c r="B31" s="666"/>
      <c r="C31" s="666"/>
      <c r="D31" s="666"/>
      <c r="E31" s="666" t="s">
        <v>334</v>
      </c>
      <c r="F31" s="666"/>
      <c r="G31" s="666"/>
      <c r="H31" s="666"/>
      <c r="I31" s="666"/>
    </row>
    <row r="32" spans="1:10" ht="21" customHeight="1">
      <c r="A32" s="506" t="s">
        <v>119</v>
      </c>
      <c r="B32" s="506"/>
      <c r="C32" s="506"/>
      <c r="D32" s="506"/>
      <c r="E32" s="703" t="s">
        <v>335</v>
      </c>
      <c r="F32" s="703"/>
      <c r="G32" s="703"/>
      <c r="H32" s="506"/>
      <c r="I32" s="506"/>
    </row>
    <row r="33" spans="1:11" ht="21" customHeight="1" thickBot="1">
      <c r="A33" s="444" t="s">
        <v>347</v>
      </c>
      <c r="B33" s="39"/>
      <c r="C33" s="443" t="e">
        <f>'Cash Flow Year 1'!N7</f>
        <v>#VALUE!</v>
      </c>
      <c r="D33" s="280"/>
      <c r="E33" s="698" t="s">
        <v>336</v>
      </c>
      <c r="F33" s="699"/>
      <c r="G33" s="683"/>
      <c r="H33" s="443" t="e">
        <f>'Cash Flow Year 1'!O92</f>
        <v>#VALUE!</v>
      </c>
      <c r="I33" s="280"/>
    </row>
    <row r="34" spans="1:11" ht="21" customHeight="1" thickBot="1">
      <c r="A34" s="444" t="s">
        <v>348</v>
      </c>
      <c r="B34" s="39"/>
      <c r="C34" s="443">
        <f>'Profit &amp; Loss Statements'!C14</f>
        <v>0</v>
      </c>
      <c r="D34" s="280"/>
      <c r="E34" s="698" t="s">
        <v>337</v>
      </c>
      <c r="F34" s="699"/>
      <c r="G34" s="683"/>
      <c r="H34" s="443" t="e">
        <f>'Profit &amp; Loss Statements'!C71-'Cash Flow Year 1'!O85</f>
        <v>#VALUE!</v>
      </c>
      <c r="I34" s="445" t="e">
        <f>SUM(H33:H34)</f>
        <v>#VALUE!</v>
      </c>
    </row>
    <row r="35" spans="1:11" ht="21" customHeight="1" thickBot="1">
      <c r="A35" s="444" t="str">
        <f>'Assets and Depreciation'!$A$19</f>
        <v>Debtors</v>
      </c>
      <c r="B35" s="39"/>
      <c r="C35" s="443">
        <f>'Assets and Depreciation'!B19+'Sales Forecast Year 1'!P40-'Sales Forecast Year 1'!P42</f>
        <v>0</v>
      </c>
      <c r="D35" s="445" t="e">
        <f>SUM(C33:C35)</f>
        <v>#VALUE!</v>
      </c>
      <c r="E35" s="698"/>
      <c r="F35" s="699"/>
      <c r="G35" s="683"/>
      <c r="H35" s="443"/>
      <c r="I35" s="280"/>
    </row>
    <row r="36" spans="1:11" ht="21" customHeight="1">
      <c r="A36" s="444"/>
      <c r="B36" s="39"/>
      <c r="C36" s="39"/>
      <c r="D36" s="280"/>
      <c r="E36" s="698"/>
      <c r="F36" s="699"/>
      <c r="G36" s="683"/>
      <c r="H36" s="443"/>
      <c r="I36" s="280"/>
    </row>
    <row r="37" spans="1:11" ht="21" customHeight="1" thickBot="1">
      <c r="A37" s="506" t="s">
        <v>338</v>
      </c>
      <c r="B37" s="506"/>
      <c r="C37" s="506"/>
      <c r="D37" s="506"/>
      <c r="E37" s="703" t="s">
        <v>339</v>
      </c>
      <c r="F37" s="703"/>
      <c r="G37" s="703"/>
      <c r="H37" s="506"/>
      <c r="I37" s="506"/>
    </row>
    <row r="38" spans="1:11" ht="21" customHeight="1" thickBot="1">
      <c r="A38" s="508" t="str">
        <f>'Assets and Depreciation'!$A$5</f>
        <v>Office Furniture</v>
      </c>
      <c r="B38" s="443">
        <f>'Assets and Depreciation'!E5</f>
        <v>0</v>
      </c>
      <c r="C38" s="284"/>
      <c r="D38" s="285"/>
      <c r="E38" s="698" t="s">
        <v>340</v>
      </c>
      <c r="F38" s="699"/>
      <c r="G38" s="683"/>
      <c r="H38" s="39"/>
      <c r="I38" s="443">
        <f>I11-('Cash Flow Year 1'!P78)</f>
        <v>0</v>
      </c>
    </row>
    <row r="39" spans="1:11" ht="21" customHeight="1" thickBot="1">
      <c r="A39" s="444" t="s">
        <v>341</v>
      </c>
      <c r="B39" s="443">
        <f>'Assets and Depreciation'!I5</f>
        <v>0</v>
      </c>
      <c r="C39" s="445">
        <f>B38-B39</f>
        <v>0</v>
      </c>
      <c r="D39" s="280"/>
      <c r="E39" s="698" t="s">
        <v>349</v>
      </c>
      <c r="F39" s="699"/>
      <c r="G39" s="683"/>
      <c r="H39" s="39"/>
      <c r="I39" s="443">
        <f>('Business Loans'!B12)+('Business Loans'!B30)-('Cash Flow Year 1'!P76+'Cash Flow Year 1'!P77)</f>
        <v>0</v>
      </c>
    </row>
    <row r="40" spans="1:11" ht="21" customHeight="1" thickBot="1">
      <c r="A40" s="508" t="str">
        <f>'Assets and Depreciation'!A6</f>
        <v>Computer Equipment</v>
      </c>
      <c r="B40" s="443">
        <f>'Assets and Depreciation'!E6</f>
        <v>0</v>
      </c>
      <c r="C40" s="39"/>
      <c r="D40" s="280"/>
      <c r="H40" s="39"/>
      <c r="I40" s="280"/>
    </row>
    <row r="41" spans="1:11" ht="21" customHeight="1" thickBot="1">
      <c r="A41" s="444" t="s">
        <v>341</v>
      </c>
      <c r="B41" s="443">
        <f>'Assets and Depreciation'!I6</f>
        <v>0</v>
      </c>
      <c r="C41" s="445">
        <f>B40-B41</f>
        <v>0</v>
      </c>
      <c r="D41" s="280"/>
      <c r="H41" s="39"/>
      <c r="I41" s="280"/>
    </row>
    <row r="42" spans="1:11" ht="21" customHeight="1" thickBot="1">
      <c r="A42" s="508" t="str">
        <f>'Assets and Depreciation'!$A$7</f>
        <v>Motor Vehicle</v>
      </c>
      <c r="B42" s="443">
        <f>'Assets and Depreciation'!E7</f>
        <v>0</v>
      </c>
      <c r="C42" s="39"/>
      <c r="D42" s="280"/>
      <c r="E42" s="703" t="s">
        <v>342</v>
      </c>
      <c r="F42" s="703"/>
      <c r="G42" s="703"/>
      <c r="H42" s="506"/>
      <c r="I42" s="506"/>
    </row>
    <row r="43" spans="1:11" ht="21" customHeight="1" thickBot="1">
      <c r="A43" s="444" t="s">
        <v>341</v>
      </c>
      <c r="B43" s="443">
        <f>'Assets and Depreciation'!I7</f>
        <v>0</v>
      </c>
      <c r="C43" s="445">
        <f>B42-B43</f>
        <v>0</v>
      </c>
      <c r="D43" s="280"/>
      <c r="E43" s="588" t="s">
        <v>343</v>
      </c>
      <c r="F43" s="588"/>
      <c r="G43" s="588"/>
      <c r="H43" s="443">
        <f>I15+'Cash Flow Year 1'!O17</f>
        <v>0</v>
      </c>
      <c r="I43" s="286"/>
    </row>
    <row r="44" spans="1:11" ht="21" customHeight="1" thickBot="1">
      <c r="A44" s="508" t="str">
        <f>'Assets and Depreciation'!$A$8</f>
        <v>Tools</v>
      </c>
      <c r="B44" s="443">
        <f>'Assets and Depreciation'!E8</f>
        <v>0</v>
      </c>
      <c r="C44" s="39"/>
      <c r="D44" s="280"/>
      <c r="E44" s="704" t="s">
        <v>350</v>
      </c>
      <c r="F44" s="704"/>
      <c r="G44" s="704"/>
      <c r="H44" s="443" t="e">
        <f>'Profit &amp; Loss Statements'!C72</f>
        <v>#VALUE!</v>
      </c>
      <c r="I44" s="280"/>
    </row>
    <row r="45" spans="1:11" ht="21" customHeight="1" thickBot="1">
      <c r="A45" s="444" t="s">
        <v>341</v>
      </c>
      <c r="B45" s="443">
        <f>'Assets and Depreciation'!I8</f>
        <v>0</v>
      </c>
      <c r="C45" s="445">
        <f>B44-B45</f>
        <v>0</v>
      </c>
      <c r="D45" s="286"/>
      <c r="E45" s="704" t="s">
        <v>351</v>
      </c>
      <c r="F45" s="704"/>
      <c r="G45" s="704"/>
      <c r="H45" s="443">
        <f>'Cash Flow Year 1'!O82</f>
        <v>0</v>
      </c>
      <c r="I45" s="445" t="e">
        <f>H43+H44-H45</f>
        <v>#VALUE!</v>
      </c>
    </row>
    <row r="46" spans="1:11" ht="21" customHeight="1" thickBot="1">
      <c r="A46" s="508" t="str">
        <f>'Assets and Depreciation'!$A$9</f>
        <v>Mobile Phone</v>
      </c>
      <c r="B46" s="443">
        <f>'Assets and Depreciation'!E9</f>
        <v>0</v>
      </c>
      <c r="C46" s="39"/>
      <c r="D46" s="280"/>
      <c r="E46" s="282"/>
      <c r="F46" s="282"/>
      <c r="G46" s="282"/>
      <c r="H46" s="39"/>
      <c r="I46" s="280"/>
    </row>
    <row r="47" spans="1:11" ht="21" customHeight="1" thickBot="1">
      <c r="A47" s="444" t="s">
        <v>341</v>
      </c>
      <c r="B47" s="443">
        <f>'Assets and Depreciation'!I9</f>
        <v>0</v>
      </c>
      <c r="C47" s="445">
        <f>B46-B47</f>
        <v>0</v>
      </c>
      <c r="D47" s="280"/>
      <c r="E47" s="282"/>
      <c r="F47" s="282"/>
      <c r="G47" s="282"/>
      <c r="H47" s="39"/>
      <c r="I47" s="280"/>
    </row>
    <row r="48" spans="1:11" ht="21" customHeight="1" thickBot="1">
      <c r="A48" s="508">
        <f>'Assets and Depreciation'!$A$10</f>
        <v>0</v>
      </c>
      <c r="B48" s="443">
        <f>'Assets and Depreciation'!E10</f>
        <v>0</v>
      </c>
      <c r="C48" s="39"/>
      <c r="D48" s="280"/>
      <c r="E48" s="282"/>
      <c r="F48" s="282"/>
      <c r="G48" s="282"/>
      <c r="H48" s="39"/>
      <c r="I48" s="280"/>
      <c r="J48" s="227"/>
      <c r="K48" s="227"/>
    </row>
    <row r="49" spans="1:10" ht="21" customHeight="1" thickBot="1">
      <c r="A49" s="444" t="s">
        <v>341</v>
      </c>
      <c r="B49" s="443">
        <f>'Assets and Depreciation'!I10</f>
        <v>0</v>
      </c>
      <c r="C49" s="445">
        <f>B48-B49</f>
        <v>0</v>
      </c>
      <c r="D49" s="280"/>
      <c r="E49" s="282"/>
      <c r="F49" s="282"/>
      <c r="G49" s="282"/>
      <c r="H49" s="39"/>
      <c r="I49" s="280"/>
    </row>
    <row r="50" spans="1:10" ht="21" customHeight="1" thickBot="1">
      <c r="A50" s="508">
        <f>'Assets and Depreciation'!$A$11</f>
        <v>0</v>
      </c>
      <c r="B50" s="443">
        <f>'Assets and Depreciation'!E11</f>
        <v>0</v>
      </c>
      <c r="C50" s="39"/>
      <c r="D50" s="280"/>
      <c r="E50" s="282"/>
      <c r="F50" s="282"/>
      <c r="G50" s="282"/>
      <c r="H50" s="39"/>
      <c r="I50" s="280"/>
    </row>
    <row r="51" spans="1:10" ht="21" customHeight="1" thickBot="1">
      <c r="A51" s="444" t="s">
        <v>341</v>
      </c>
      <c r="B51" s="443">
        <f>'Assets and Depreciation'!I11</f>
        <v>0</v>
      </c>
      <c r="C51" s="445">
        <f>B50-B51</f>
        <v>0</v>
      </c>
      <c r="D51" s="280"/>
      <c r="E51" s="282"/>
      <c r="F51" s="282"/>
      <c r="G51" s="282"/>
      <c r="H51" s="39"/>
      <c r="I51" s="280"/>
    </row>
    <row r="52" spans="1:10" ht="21" customHeight="1" thickBot="1">
      <c r="A52" s="508">
        <f>'Assets and Depreciation'!$A$12</f>
        <v>0</v>
      </c>
      <c r="B52" s="443">
        <f>'Assets and Depreciation'!E12</f>
        <v>0</v>
      </c>
      <c r="C52" s="39"/>
      <c r="D52" s="280"/>
      <c r="E52" s="282"/>
      <c r="F52" s="282"/>
      <c r="G52" s="282"/>
      <c r="H52" s="39"/>
      <c r="I52" s="280"/>
    </row>
    <row r="53" spans="1:10" ht="21" customHeight="1" thickBot="1">
      <c r="A53" s="444" t="s">
        <v>341</v>
      </c>
      <c r="B53" s="443">
        <f>'Assets and Depreciation'!I12</f>
        <v>0</v>
      </c>
      <c r="C53" s="445">
        <f>B52-B53</f>
        <v>0</v>
      </c>
      <c r="D53" s="280"/>
      <c r="E53" s="282"/>
      <c r="F53" s="282"/>
      <c r="G53" s="282"/>
      <c r="H53" s="39"/>
      <c r="I53" s="280"/>
    </row>
    <row r="54" spans="1:10" ht="21" customHeight="1" thickBot="1">
      <c r="A54" s="508" t="s">
        <v>352</v>
      </c>
      <c r="B54" s="443">
        <f>('Cash Flow Year 1'!O79-'Cash Flow Year 1'!R79)</f>
        <v>0</v>
      </c>
      <c r="C54" s="39"/>
      <c r="D54" s="280"/>
      <c r="E54" s="282"/>
      <c r="F54" s="282"/>
      <c r="G54" s="282"/>
      <c r="H54" s="39"/>
      <c r="I54" s="280"/>
    </row>
    <row r="55" spans="1:10" ht="21" customHeight="1" thickBot="1">
      <c r="A55" s="444" t="s">
        <v>341</v>
      </c>
      <c r="B55" s="443">
        <f>'Assets and Depreciation'!K30</f>
        <v>0</v>
      </c>
      <c r="C55" s="445">
        <f>B54-B55</f>
        <v>0</v>
      </c>
      <c r="D55" s="445">
        <f>ROUND(SUM(C39:C55),0)</f>
        <v>0</v>
      </c>
      <c r="E55" s="282"/>
      <c r="F55" s="282"/>
      <c r="G55" s="282"/>
      <c r="H55" s="39"/>
      <c r="I55" s="280"/>
    </row>
    <row r="56" spans="1:10" ht="21" customHeight="1" thickBot="1">
      <c r="B56" s="39"/>
      <c r="C56" s="39"/>
      <c r="D56" s="39"/>
      <c r="E56" s="281"/>
      <c r="H56" s="39"/>
      <c r="I56" s="280"/>
    </row>
    <row r="57" spans="1:10" ht="21" customHeight="1" thickBot="1">
      <c r="A57" s="674" t="s">
        <v>344</v>
      </c>
      <c r="B57" s="674"/>
      <c r="C57" s="674"/>
      <c r="D57" s="445" t="e">
        <f>ROUND(SUM(D35:D56),0)</f>
        <v>#VALUE!</v>
      </c>
      <c r="E57" s="674" t="s">
        <v>345</v>
      </c>
      <c r="F57" s="674"/>
      <c r="G57" s="674"/>
      <c r="H57" s="674"/>
      <c r="I57" s="445" t="e">
        <f>ROUND(SUM(I34:I56),0)</f>
        <v>#VALUE!</v>
      </c>
      <c r="J57" s="227" t="e">
        <f>SUM(D57-I57)</f>
        <v>#VALUE!</v>
      </c>
    </row>
    <row r="58" spans="1:10" ht="21" customHeight="1" thickBot="1">
      <c r="A58" s="287"/>
      <c r="B58" s="288"/>
      <c r="C58" s="288"/>
      <c r="D58" s="289"/>
      <c r="E58" s="700" t="e">
        <f>IF(OR(J57&gt;1,J57&lt;-1),"Balance Sheet does not balance"," ")</f>
        <v>#VALUE!</v>
      </c>
      <c r="F58" s="701"/>
      <c r="G58" s="701"/>
      <c r="H58" s="701"/>
      <c r="I58" s="702"/>
    </row>
    <row r="59" spans="1:10" ht="30.75" customHeight="1">
      <c r="A59" s="705" t="s">
        <v>353</v>
      </c>
      <c r="B59" s="705"/>
      <c r="C59" s="705"/>
      <c r="D59" s="705"/>
      <c r="E59" s="705"/>
      <c r="F59" s="705"/>
      <c r="G59" s="705"/>
      <c r="H59" s="705"/>
      <c r="I59" s="705"/>
    </row>
    <row r="60" spans="1:10" ht="21" customHeight="1">
      <c r="A60" s="666" t="s">
        <v>333</v>
      </c>
      <c r="B60" s="666"/>
      <c r="C60" s="666"/>
      <c r="D60" s="666"/>
      <c r="E60" s="666" t="s">
        <v>334</v>
      </c>
      <c r="F60" s="666"/>
      <c r="G60" s="666"/>
      <c r="H60" s="666"/>
      <c r="I60" s="666"/>
    </row>
    <row r="61" spans="1:10" ht="21" customHeight="1">
      <c r="A61" s="506" t="s">
        <v>119</v>
      </c>
      <c r="B61" s="506"/>
      <c r="C61" s="506"/>
      <c r="D61" s="506"/>
      <c r="E61" s="703" t="s">
        <v>335</v>
      </c>
      <c r="F61" s="703"/>
      <c r="G61" s="703"/>
      <c r="H61" s="506"/>
      <c r="I61" s="506"/>
    </row>
    <row r="62" spans="1:10" ht="21" customHeight="1" thickBot="1">
      <c r="A62" s="588" t="s">
        <v>347</v>
      </c>
      <c r="B62" s="588"/>
      <c r="C62" s="443" t="e">
        <f>'Cash Flow Year 2'!N7</f>
        <v>#VALUE!</v>
      </c>
      <c r="D62" s="280"/>
      <c r="E62" s="698" t="s">
        <v>336</v>
      </c>
      <c r="F62" s="699"/>
      <c r="G62" s="683"/>
      <c r="H62" s="443" t="e">
        <f>'Cash Flow Year 2'!O92</f>
        <v>#VALUE!</v>
      </c>
      <c r="I62" s="280"/>
    </row>
    <row r="63" spans="1:10" ht="21" customHeight="1" thickBot="1">
      <c r="A63" s="588" t="s">
        <v>348</v>
      </c>
      <c r="B63" s="588"/>
      <c r="C63" s="443">
        <f>'Profit &amp; Loss Statements'!E14</f>
        <v>0</v>
      </c>
      <c r="D63" s="280"/>
      <c r="E63" s="698" t="s">
        <v>337</v>
      </c>
      <c r="F63" s="699"/>
      <c r="G63" s="683"/>
      <c r="H63" s="443" t="e">
        <f>H34+'Profit &amp; Loss Statements'!E71-'Cash Flow Year 2'!O85</f>
        <v>#VALUE!</v>
      </c>
      <c r="I63" s="445" t="e">
        <f>SUM(H62:H63)</f>
        <v>#VALUE!</v>
      </c>
    </row>
    <row r="64" spans="1:10" ht="21" customHeight="1" thickBot="1">
      <c r="A64" s="588" t="str">
        <f>'Assets and Depreciation'!$A$19</f>
        <v>Debtors</v>
      </c>
      <c r="B64" s="588"/>
      <c r="C64" s="443" t="e">
        <f>C35+'Sales Forecast Year 2'!P39-'Cash Flow Year 2'!O12</f>
        <v>#VALUE!</v>
      </c>
      <c r="D64" s="445" t="e">
        <f>SUM(C62:C64)</f>
        <v>#VALUE!</v>
      </c>
      <c r="E64" s="698"/>
      <c r="F64" s="699"/>
      <c r="G64" s="683"/>
      <c r="H64" s="39"/>
      <c r="I64" s="280"/>
    </row>
    <row r="65" spans="1:9" ht="21" customHeight="1">
      <c r="A65" s="283"/>
      <c r="B65" s="39"/>
      <c r="C65" s="39"/>
      <c r="D65" s="280"/>
      <c r="E65" s="698"/>
      <c r="F65" s="699"/>
      <c r="G65" s="683"/>
      <c r="H65" s="39"/>
      <c r="I65" s="280"/>
    </row>
    <row r="66" spans="1:9" ht="21" customHeight="1" thickBot="1">
      <c r="A66" s="506" t="s">
        <v>338</v>
      </c>
      <c r="B66" s="506"/>
      <c r="C66" s="506"/>
      <c r="D66" s="506"/>
      <c r="E66" s="703" t="s">
        <v>339</v>
      </c>
      <c r="F66" s="703"/>
      <c r="G66" s="703"/>
      <c r="H66" s="506"/>
      <c r="I66" s="506"/>
    </row>
    <row r="67" spans="1:9" ht="21" customHeight="1" thickBot="1">
      <c r="A67" s="508" t="str">
        <f>'Assets and Depreciation'!$A$5</f>
        <v>Office Furniture</v>
      </c>
      <c r="B67" s="443">
        <f>C39</f>
        <v>0</v>
      </c>
      <c r="C67" s="284"/>
      <c r="D67" s="285"/>
      <c r="E67" s="698" t="s">
        <v>340</v>
      </c>
      <c r="F67" s="699"/>
      <c r="G67" s="683"/>
      <c r="H67" s="39"/>
      <c r="I67" s="443">
        <f>I38-('Cash Flow Year 2'!P78)</f>
        <v>0</v>
      </c>
    </row>
    <row r="68" spans="1:9" ht="21" customHeight="1" thickBot="1">
      <c r="A68" s="444" t="s">
        <v>341</v>
      </c>
      <c r="B68" s="443">
        <f>'Assets and Depreciation'!J5</f>
        <v>0</v>
      </c>
      <c r="C68" s="445">
        <f>B67-B68</f>
        <v>0</v>
      </c>
      <c r="D68" s="280"/>
      <c r="E68" s="698" t="s">
        <v>349</v>
      </c>
      <c r="F68" s="699"/>
      <c r="G68" s="683"/>
      <c r="H68" s="39"/>
      <c r="I68" s="443">
        <f>I39-('Cash Flow Year 2'!P76+'Cash Flow Year 2'!P77)</f>
        <v>0</v>
      </c>
    </row>
    <row r="69" spans="1:9" ht="21" customHeight="1" thickBot="1">
      <c r="A69" s="508">
        <f>'Assets and Depreciation'!A35</f>
        <v>0</v>
      </c>
      <c r="B69" s="443">
        <f>C41</f>
        <v>0</v>
      </c>
      <c r="C69" s="39"/>
      <c r="D69" s="280"/>
      <c r="E69" s="698"/>
      <c r="F69" s="699"/>
      <c r="G69" s="683"/>
      <c r="H69" s="39"/>
      <c r="I69" s="280"/>
    </row>
    <row r="70" spans="1:9" ht="21" customHeight="1" thickBot="1">
      <c r="A70" s="444" t="s">
        <v>341</v>
      </c>
      <c r="B70" s="443">
        <f>'Assets and Depreciation'!J6</f>
        <v>0</v>
      </c>
      <c r="C70" s="445">
        <f>B69-B70</f>
        <v>0</v>
      </c>
      <c r="D70" s="280"/>
      <c r="E70" s="698"/>
      <c r="F70" s="699"/>
      <c r="G70" s="683"/>
      <c r="H70" s="39"/>
      <c r="I70" s="280"/>
    </row>
    <row r="71" spans="1:9" ht="21" customHeight="1" thickBot="1">
      <c r="A71" s="508" t="str">
        <f>'Assets and Depreciation'!$A$7</f>
        <v>Motor Vehicle</v>
      </c>
      <c r="B71" s="443">
        <f>C43</f>
        <v>0</v>
      </c>
      <c r="C71" s="39"/>
      <c r="D71" s="280"/>
      <c r="E71" s="703" t="s">
        <v>342</v>
      </c>
      <c r="F71" s="703"/>
      <c r="G71" s="703"/>
      <c r="H71" s="506"/>
      <c r="I71" s="506"/>
    </row>
    <row r="72" spans="1:9" ht="21" customHeight="1" thickBot="1">
      <c r="A72" s="444" t="s">
        <v>341</v>
      </c>
      <c r="B72" s="443">
        <f>'Assets and Depreciation'!J7</f>
        <v>0</v>
      </c>
      <c r="C72" s="445">
        <f>B71-B72</f>
        <v>0</v>
      </c>
      <c r="D72" s="280"/>
      <c r="E72" s="588" t="s">
        <v>354</v>
      </c>
      <c r="F72" s="588"/>
      <c r="G72" s="588"/>
      <c r="H72" s="443" t="e">
        <f>I45+'Cash Flow Year 2'!O17</f>
        <v>#VALUE!</v>
      </c>
      <c r="I72" s="286"/>
    </row>
    <row r="73" spans="1:9" ht="21" customHeight="1" thickBot="1">
      <c r="A73" s="508" t="str">
        <f>'Assets and Depreciation'!$A$8</f>
        <v>Tools</v>
      </c>
      <c r="B73" s="443">
        <f>C45</f>
        <v>0</v>
      </c>
      <c r="C73" s="39"/>
      <c r="D73" s="280"/>
      <c r="E73" s="588" t="s">
        <v>355</v>
      </c>
      <c r="F73" s="588"/>
      <c r="G73" s="588"/>
      <c r="H73" s="443" t="e">
        <f>'Profit &amp; Loss Statements'!E72</f>
        <v>#VALUE!</v>
      </c>
      <c r="I73" s="280"/>
    </row>
    <row r="74" spans="1:9" ht="21" customHeight="1" thickBot="1">
      <c r="A74" s="444" t="s">
        <v>341</v>
      </c>
      <c r="B74" s="443">
        <f>'Assets and Depreciation'!J8</f>
        <v>0</v>
      </c>
      <c r="C74" s="445">
        <f>B73-B74</f>
        <v>0</v>
      </c>
      <c r="D74" s="286"/>
      <c r="E74" s="588" t="s">
        <v>356</v>
      </c>
      <c r="F74" s="588"/>
      <c r="G74" s="588"/>
      <c r="H74" s="443">
        <f>'Cash Flow Year 2'!O82</f>
        <v>0</v>
      </c>
      <c r="I74" s="445" t="e">
        <f>H72+H73-H74</f>
        <v>#VALUE!</v>
      </c>
    </row>
    <row r="75" spans="1:9" ht="21" customHeight="1" thickBot="1">
      <c r="A75" s="508" t="str">
        <f>'Assets and Depreciation'!$A$9</f>
        <v>Mobile Phone</v>
      </c>
      <c r="B75" s="443">
        <f>C47</f>
        <v>0</v>
      </c>
      <c r="C75" s="39"/>
      <c r="D75" s="280"/>
      <c r="E75" s="282"/>
      <c r="F75" s="282"/>
      <c r="G75" s="282"/>
      <c r="H75" s="39"/>
      <c r="I75" s="280"/>
    </row>
    <row r="76" spans="1:9" ht="21" customHeight="1" thickBot="1">
      <c r="A76" s="444" t="s">
        <v>341</v>
      </c>
      <c r="B76" s="443">
        <f>'Assets and Depreciation'!J9</f>
        <v>0</v>
      </c>
      <c r="C76" s="445">
        <f>B75-B76</f>
        <v>0</v>
      </c>
      <c r="D76" s="280"/>
      <c r="E76" s="282"/>
      <c r="F76" s="282"/>
      <c r="G76" s="282"/>
      <c r="H76" s="39"/>
      <c r="I76" s="280"/>
    </row>
    <row r="77" spans="1:9" ht="21" customHeight="1" thickBot="1">
      <c r="A77" s="508">
        <f>'Assets and Depreciation'!$A$10</f>
        <v>0</v>
      </c>
      <c r="B77" s="443">
        <f>C49</f>
        <v>0</v>
      </c>
      <c r="C77" s="39"/>
      <c r="D77" s="280"/>
      <c r="E77" s="282"/>
      <c r="F77" s="282"/>
      <c r="G77" s="282"/>
      <c r="H77" s="39"/>
      <c r="I77" s="280"/>
    </row>
    <row r="78" spans="1:9" ht="21" customHeight="1" thickBot="1">
      <c r="A78" s="444" t="s">
        <v>341</v>
      </c>
      <c r="B78" s="443">
        <f>'Assets and Depreciation'!J10</f>
        <v>0</v>
      </c>
      <c r="C78" s="445">
        <f>B77-B78</f>
        <v>0</v>
      </c>
      <c r="D78" s="280"/>
      <c r="E78" s="282"/>
      <c r="F78" s="282"/>
      <c r="G78" s="282"/>
      <c r="H78" s="39"/>
      <c r="I78" s="280"/>
    </row>
    <row r="79" spans="1:9" ht="21" customHeight="1" thickBot="1">
      <c r="A79" s="508">
        <f>'Assets and Depreciation'!$A$11</f>
        <v>0</v>
      </c>
      <c r="B79" s="443">
        <f>C51</f>
        <v>0</v>
      </c>
      <c r="C79" s="39"/>
      <c r="D79" s="280"/>
      <c r="E79" s="282"/>
      <c r="F79" s="282"/>
      <c r="G79" s="282"/>
      <c r="H79" s="39"/>
      <c r="I79" s="280"/>
    </row>
    <row r="80" spans="1:9" ht="21" customHeight="1" thickBot="1">
      <c r="A80" s="444" t="s">
        <v>341</v>
      </c>
      <c r="B80" s="443">
        <f>'Assets and Depreciation'!J11</f>
        <v>0</v>
      </c>
      <c r="C80" s="445">
        <f>B79-B80</f>
        <v>0</v>
      </c>
      <c r="D80" s="280"/>
      <c r="E80" s="282"/>
      <c r="F80" s="282"/>
      <c r="G80" s="282"/>
      <c r="H80" s="39"/>
      <c r="I80" s="280"/>
    </row>
    <row r="81" spans="1:10" ht="21" customHeight="1" thickBot="1">
      <c r="A81" s="508">
        <f>'Assets and Depreciation'!$A$12</f>
        <v>0</v>
      </c>
      <c r="B81" s="443">
        <f>C53</f>
        <v>0</v>
      </c>
      <c r="C81" s="39"/>
      <c r="D81" s="280"/>
      <c r="E81" s="282"/>
      <c r="F81" s="282"/>
      <c r="G81" s="282"/>
      <c r="H81" s="39"/>
      <c r="I81" s="280"/>
    </row>
    <row r="82" spans="1:10" ht="21" customHeight="1" thickBot="1">
      <c r="A82" s="444" t="s">
        <v>341</v>
      </c>
      <c r="B82" s="443">
        <f>'Assets and Depreciation'!J12</f>
        <v>0</v>
      </c>
      <c r="C82" s="445">
        <f>B81-B82</f>
        <v>0</v>
      </c>
      <c r="D82" s="280"/>
      <c r="E82" s="282"/>
      <c r="F82" s="282"/>
      <c r="G82" s="282"/>
      <c r="H82" s="39"/>
      <c r="I82" s="280"/>
    </row>
    <row r="83" spans="1:10" ht="21" customHeight="1" thickBot="1">
      <c r="A83" s="508" t="s">
        <v>352</v>
      </c>
      <c r="B83" s="443">
        <f>C55+('Cash Flow Year 2'!O79-'Cash Flow Year 2'!R79)</f>
        <v>0</v>
      </c>
      <c r="C83" s="39"/>
      <c r="D83" s="280"/>
      <c r="E83" s="282"/>
      <c r="F83" s="282"/>
      <c r="G83" s="282"/>
      <c r="H83" s="39"/>
      <c r="I83" s="280"/>
    </row>
    <row r="84" spans="1:10" ht="21" customHeight="1" thickBot="1">
      <c r="A84" s="444" t="s">
        <v>341</v>
      </c>
      <c r="B84" s="443">
        <f>'Assets and Depreciation'!K30</f>
        <v>0</v>
      </c>
      <c r="C84" s="445">
        <f>B83-B84</f>
        <v>0</v>
      </c>
      <c r="D84" s="445">
        <f>SUM(C68:C84)</f>
        <v>0</v>
      </c>
      <c r="E84" s="282"/>
      <c r="F84" s="282"/>
      <c r="G84" s="282"/>
      <c r="H84" s="39"/>
      <c r="I84" s="280"/>
    </row>
    <row r="85" spans="1:10" ht="21" customHeight="1" thickBot="1">
      <c r="B85" s="39"/>
      <c r="C85" s="39"/>
      <c r="D85" s="39"/>
      <c r="E85" s="281"/>
      <c r="H85" s="39"/>
      <c r="I85" s="280"/>
    </row>
    <row r="86" spans="1:10" ht="21" customHeight="1" thickBot="1">
      <c r="A86" s="674" t="s">
        <v>344</v>
      </c>
      <c r="B86" s="674"/>
      <c r="C86" s="674"/>
      <c r="D86" s="445" t="e">
        <f>ROUND(SUM(D64:D85),0)</f>
        <v>#VALUE!</v>
      </c>
      <c r="E86" s="674" t="s">
        <v>345</v>
      </c>
      <c r="F86" s="674"/>
      <c r="G86" s="674"/>
      <c r="H86" s="674"/>
      <c r="I86" s="445" t="e">
        <f>ROUND(SUM(I63:I85),0)</f>
        <v>#VALUE!</v>
      </c>
      <c r="J86" s="227" t="e">
        <f>SUM(D86-I86)</f>
        <v>#VALUE!</v>
      </c>
    </row>
    <row r="87" spans="1:10" ht="21" customHeight="1" thickBot="1">
      <c r="A87" s="287"/>
      <c r="B87" s="288"/>
      <c r="C87" s="288"/>
      <c r="D87" s="289"/>
      <c r="E87" s="700" t="e">
        <f>IF(OR(J86&gt;1,J86&lt;-1),"Balance Sheet does not balance"," ")</f>
        <v>#VALUE!</v>
      </c>
      <c r="F87" s="701"/>
      <c r="G87" s="701"/>
      <c r="H87" s="701"/>
      <c r="I87" s="702"/>
    </row>
    <row r="92" spans="1:10" ht="21" customHeight="1">
      <c r="G92" s="290"/>
    </row>
  </sheetData>
  <mergeCells count="61">
    <mergeCell ref="E6:G6"/>
    <mergeCell ref="B1:I1"/>
    <mergeCell ref="A3:I3"/>
    <mergeCell ref="A4:D4"/>
    <mergeCell ref="E4:I4"/>
    <mergeCell ref="E5:G5"/>
    <mergeCell ref="E33:G33"/>
    <mergeCell ref="E7:G7"/>
    <mergeCell ref="E10:G10"/>
    <mergeCell ref="E11:G11"/>
    <mergeCell ref="E14:G14"/>
    <mergeCell ref="E15:G15"/>
    <mergeCell ref="E29:I29"/>
    <mergeCell ref="A30:I30"/>
    <mergeCell ref="A31:D31"/>
    <mergeCell ref="E31:I31"/>
    <mergeCell ref="E32:G32"/>
    <mergeCell ref="A28:C28"/>
    <mergeCell ref="E28:H28"/>
    <mergeCell ref="A60:D60"/>
    <mergeCell ref="E60:I60"/>
    <mergeCell ref="E34:G34"/>
    <mergeCell ref="E37:G37"/>
    <mergeCell ref="E38:G38"/>
    <mergeCell ref="E42:G42"/>
    <mergeCell ref="E43:G43"/>
    <mergeCell ref="E44:G44"/>
    <mergeCell ref="E45:G45"/>
    <mergeCell ref="A57:C57"/>
    <mergeCell ref="E57:H57"/>
    <mergeCell ref="E58:I58"/>
    <mergeCell ref="A59:I59"/>
    <mergeCell ref="E39:G39"/>
    <mergeCell ref="E87:I87"/>
    <mergeCell ref="E61:G61"/>
    <mergeCell ref="E62:G62"/>
    <mergeCell ref="E63:G63"/>
    <mergeCell ref="E66:G66"/>
    <mergeCell ref="E67:G67"/>
    <mergeCell ref="E71:G71"/>
    <mergeCell ref="E72:G72"/>
    <mergeCell ref="E73:G73"/>
    <mergeCell ref="E74:G74"/>
    <mergeCell ref="E69:G69"/>
    <mergeCell ref="E70:G70"/>
    <mergeCell ref="A86:C86"/>
    <mergeCell ref="E86:H86"/>
    <mergeCell ref="A6:B6"/>
    <mergeCell ref="A7:B7"/>
    <mergeCell ref="A8:B8"/>
    <mergeCell ref="A9:B9"/>
    <mergeCell ref="E8:G8"/>
    <mergeCell ref="E9:G9"/>
    <mergeCell ref="E35:G35"/>
    <mergeCell ref="E36:G36"/>
    <mergeCell ref="A62:B62"/>
    <mergeCell ref="A63:B63"/>
    <mergeCell ref="A64:B64"/>
    <mergeCell ref="E64:G64"/>
    <mergeCell ref="E65:G65"/>
    <mergeCell ref="E68:G68"/>
  </mergeCells>
  <pageMargins left="0.23622047244094491" right="0.23622047244094491" top="0.74803149606299213" bottom="0.74803149606299213" header="0.31496062992125984" footer="0.31496062992125984"/>
  <pageSetup paperSize="9" scale="41" orientation="portrait" horizontalDpi="300" verticalDpi="300" r:id="rId1"/>
  <headerFooter alignWithMargins="0">
    <oddHeader>&amp;L&amp;A&amp;CSelf-Employment Assistance</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32DC-9C2B-4617-BE7C-2630C245B641}">
  <sheetPr codeName="Sheet13">
    <tabColor theme="0" tint="-0.34998626667073579"/>
    <pageSetUpPr fitToPage="1"/>
  </sheetPr>
  <dimension ref="A1:B31"/>
  <sheetViews>
    <sheetView tabSelected="1" zoomScale="55" zoomScaleNormal="55" zoomScalePageLayoutView="82" workbookViewId="0">
      <selection activeCell="B1" sqref="B1"/>
    </sheetView>
  </sheetViews>
  <sheetFormatPr defaultColWidth="9.28515625" defaultRowHeight="12.75"/>
  <cols>
    <col min="1" max="1" width="37.42578125" style="35" customWidth="1"/>
    <col min="2" max="2" width="255.42578125" style="35" customWidth="1"/>
    <col min="3" max="16384" width="9.28515625" style="35"/>
  </cols>
  <sheetData>
    <row r="1" spans="1:2" ht="57.75" customHeight="1">
      <c r="A1" s="421" t="s">
        <v>57</v>
      </c>
      <c r="B1" s="769" t="str">
        <f>'Set Up Details'!C2</f>
        <v>Test1</v>
      </c>
    </row>
    <row r="2" spans="1:2" ht="41.25" customHeight="1">
      <c r="A2" s="706" t="s">
        <v>357</v>
      </c>
      <c r="B2" s="706"/>
    </row>
    <row r="3" spans="1:2" ht="40.15" customHeight="1">
      <c r="A3" s="510" t="s">
        <v>94</v>
      </c>
      <c r="B3" s="511"/>
    </row>
    <row r="4" spans="1:2" ht="56.25" customHeight="1">
      <c r="A4" s="509" t="s">
        <v>358</v>
      </c>
      <c r="B4" s="443" t="s">
        <v>359</v>
      </c>
    </row>
    <row r="5" spans="1:2" ht="40.15" customHeight="1">
      <c r="A5" s="509" t="s">
        <v>333</v>
      </c>
      <c r="B5" s="443"/>
    </row>
    <row r="6" spans="1:2" ht="177.75" customHeight="1">
      <c r="A6" s="509" t="s">
        <v>463</v>
      </c>
      <c r="B6" s="443"/>
    </row>
    <row r="7" spans="1:2" ht="40.15" customHeight="1">
      <c r="A7" s="509" t="s">
        <v>321</v>
      </c>
      <c r="B7" s="443"/>
    </row>
    <row r="8" spans="1:2" ht="40.15" customHeight="1">
      <c r="A8" s="509" t="s">
        <v>360</v>
      </c>
      <c r="B8" s="443"/>
    </row>
    <row r="9" spans="1:2" ht="40.15" customHeight="1">
      <c r="A9" s="509" t="s">
        <v>95</v>
      </c>
      <c r="B9" s="443"/>
    </row>
    <row r="10" spans="1:2" ht="40.15" customHeight="1">
      <c r="A10" s="509" t="s">
        <v>361</v>
      </c>
      <c r="B10" s="443"/>
    </row>
    <row r="11" spans="1:2" ht="40.15" customHeight="1">
      <c r="A11" s="509" t="s">
        <v>362</v>
      </c>
      <c r="B11" s="443"/>
    </row>
    <row r="12" spans="1:2" ht="40.15" customHeight="1">
      <c r="A12" s="509" t="s">
        <v>149</v>
      </c>
      <c r="B12" s="443"/>
    </row>
    <row r="13" spans="1:2" ht="40.15" customHeight="1">
      <c r="A13" s="509" t="s">
        <v>363</v>
      </c>
      <c r="B13" s="443"/>
    </row>
    <row r="14" spans="1:2" ht="40.15" customHeight="1">
      <c r="A14" s="509" t="s">
        <v>364</v>
      </c>
      <c r="B14" s="443"/>
    </row>
    <row r="15" spans="1:2" ht="40.15" customHeight="1">
      <c r="A15" s="509"/>
      <c r="B15" s="443"/>
    </row>
    <row r="16" spans="1:2" ht="40.15" customHeight="1">
      <c r="A16" s="509"/>
      <c r="B16" s="443"/>
    </row>
    <row r="17" spans="1:2" ht="40.15" customHeight="1">
      <c r="A17" s="509"/>
      <c r="B17" s="443"/>
    </row>
    <row r="18" spans="1:2" ht="40.15" customHeight="1">
      <c r="A18" s="509"/>
      <c r="B18" s="443"/>
    </row>
    <row r="19" spans="1:2" ht="18" customHeight="1"/>
    <row r="20" spans="1:2" ht="18" customHeight="1"/>
    <row r="21" spans="1:2" ht="18" customHeight="1"/>
    <row r="22" spans="1:2" ht="18" customHeight="1"/>
    <row r="23" spans="1:2" ht="18" customHeight="1"/>
    <row r="24" spans="1:2" ht="18" customHeight="1"/>
    <row r="25" spans="1:2" ht="18" customHeight="1"/>
    <row r="26" spans="1:2" ht="18" customHeight="1"/>
    <row r="27" spans="1:2" ht="18" customHeight="1"/>
    <row r="28" spans="1:2" ht="18" customHeight="1"/>
    <row r="29" spans="1:2" ht="18" customHeight="1"/>
    <row r="30" spans="1:2" ht="18" customHeight="1"/>
    <row r="31" spans="1:2" ht="18" customHeight="1"/>
  </sheetData>
  <mergeCells count="1">
    <mergeCell ref="A2:B2"/>
  </mergeCells>
  <pageMargins left="0.23622047244094491" right="0.23622047244094491" top="0.74803149606299213" bottom="0.74803149606299213" header="0.31496062992125984" footer="0.31496062992125984"/>
  <pageSetup paperSize="9" scale="65" orientation="landscape" r:id="rId1"/>
  <headerFooter>
    <oddHeader>&amp;L&amp;A&amp;CSelf-Employment Assistance</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B1FF-5DE9-4430-9C60-72D1D7149D9A}">
  <sheetPr>
    <tabColor theme="0" tint="-0.34998626667073579"/>
    <pageSetUpPr fitToPage="1"/>
  </sheetPr>
  <dimension ref="A1:B31"/>
  <sheetViews>
    <sheetView zoomScale="70" zoomScaleNormal="70" zoomScalePageLayoutView="82" workbookViewId="0">
      <selection activeCell="B5" sqref="B5"/>
    </sheetView>
  </sheetViews>
  <sheetFormatPr defaultColWidth="9.28515625" defaultRowHeight="12.75"/>
  <cols>
    <col min="1" max="1" width="37.42578125" style="35" customWidth="1"/>
    <col min="2" max="2" width="255.42578125" style="35" customWidth="1"/>
    <col min="3" max="16384" width="9.28515625" style="35"/>
  </cols>
  <sheetData>
    <row r="1" spans="1:2" ht="30.75" customHeight="1">
      <c r="A1" s="421" t="s">
        <v>57</v>
      </c>
      <c r="B1" s="490" t="str">
        <f>'Set Up Details'!C2</f>
        <v>Test1</v>
      </c>
    </row>
    <row r="2" spans="1:2" ht="41.25" customHeight="1">
      <c r="A2" s="706" t="s">
        <v>357</v>
      </c>
      <c r="B2" s="706"/>
    </row>
    <row r="3" spans="1:2" ht="40.15" customHeight="1">
      <c r="A3" s="510" t="s">
        <v>94</v>
      </c>
      <c r="B3" s="511"/>
    </row>
    <row r="4" spans="1:2" ht="56.25" customHeight="1">
      <c r="A4" s="509" t="s">
        <v>358</v>
      </c>
      <c r="B4" s="443" t="s">
        <v>359</v>
      </c>
    </row>
    <row r="5" spans="1:2" ht="40.15" customHeight="1">
      <c r="A5" s="509" t="s">
        <v>333</v>
      </c>
      <c r="B5" s="443"/>
    </row>
    <row r="6" spans="1:2" ht="177.75" customHeight="1">
      <c r="A6" s="509" t="s">
        <v>463</v>
      </c>
      <c r="B6" s="443"/>
    </row>
    <row r="7" spans="1:2" ht="40.15" customHeight="1">
      <c r="A7" s="509" t="s">
        <v>321</v>
      </c>
      <c r="B7" s="443"/>
    </row>
    <row r="8" spans="1:2" ht="40.15" customHeight="1">
      <c r="A8" s="509" t="s">
        <v>360</v>
      </c>
      <c r="B8" s="443"/>
    </row>
    <row r="9" spans="1:2" ht="40.15" customHeight="1">
      <c r="A9" s="509" t="s">
        <v>95</v>
      </c>
      <c r="B9" s="443"/>
    </row>
    <row r="10" spans="1:2" ht="40.15" customHeight="1">
      <c r="A10" s="509" t="s">
        <v>361</v>
      </c>
      <c r="B10" s="443"/>
    </row>
    <row r="11" spans="1:2" ht="40.15" customHeight="1">
      <c r="A11" s="509" t="s">
        <v>362</v>
      </c>
      <c r="B11" s="443"/>
    </row>
    <row r="12" spans="1:2" ht="40.15" customHeight="1">
      <c r="A12" s="509" t="s">
        <v>149</v>
      </c>
      <c r="B12" s="443"/>
    </row>
    <row r="13" spans="1:2" ht="40.15" customHeight="1">
      <c r="A13" s="509" t="s">
        <v>363</v>
      </c>
      <c r="B13" s="443"/>
    </row>
    <row r="14" spans="1:2" ht="40.15" customHeight="1">
      <c r="A14" s="509" t="s">
        <v>364</v>
      </c>
      <c r="B14" s="443"/>
    </row>
    <row r="15" spans="1:2" ht="40.15" customHeight="1">
      <c r="A15" s="509"/>
      <c r="B15" s="443"/>
    </row>
    <row r="16" spans="1:2" ht="40.15" customHeight="1">
      <c r="A16" s="509"/>
      <c r="B16" s="443"/>
    </row>
    <row r="17" spans="1:2" ht="40.15" customHeight="1">
      <c r="A17" s="509"/>
      <c r="B17" s="443"/>
    </row>
    <row r="18" spans="1:2" ht="40.15" customHeight="1">
      <c r="A18" s="509"/>
      <c r="B18" s="443"/>
    </row>
    <row r="19" spans="1:2" ht="18" customHeight="1"/>
    <row r="20" spans="1:2" ht="18" customHeight="1"/>
    <row r="21" spans="1:2" ht="18" customHeight="1"/>
    <row r="22" spans="1:2" ht="18" customHeight="1"/>
    <row r="23" spans="1:2" ht="18" customHeight="1"/>
    <row r="24" spans="1:2" ht="18" customHeight="1"/>
    <row r="25" spans="1:2" ht="18" customHeight="1"/>
    <row r="26" spans="1:2" ht="18" customHeight="1"/>
    <row r="27" spans="1:2" ht="18" customHeight="1"/>
    <row r="28" spans="1:2" ht="18" customHeight="1"/>
    <row r="29" spans="1:2" ht="18" customHeight="1"/>
    <row r="30" spans="1:2" ht="18" customHeight="1"/>
    <row r="31" spans="1:2" ht="18" customHeight="1"/>
  </sheetData>
  <mergeCells count="1">
    <mergeCell ref="A2:B2"/>
  </mergeCells>
  <pageMargins left="0.23622047244094491" right="0.23622047244094491" top="0.74803149606299213" bottom="0.74803149606299213" header="0.31496062992125984" footer="0.31496062992125984"/>
  <pageSetup paperSize="9" scale="65" orientation="landscape" r:id="rId1"/>
  <headerFooter>
    <oddHeader>&amp;L&amp;A&amp;CSelf-Employment Assistance</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6748-2C5F-4531-B314-5EFE4C1C26F0}">
  <sheetPr>
    <tabColor theme="0" tint="-0.34998626667073579"/>
    <pageSetUpPr fitToPage="1"/>
  </sheetPr>
  <dimension ref="A1:B31"/>
  <sheetViews>
    <sheetView zoomScale="70" zoomScaleNormal="70" zoomScalePageLayoutView="82" workbookViewId="0">
      <selection activeCell="B5" sqref="B5"/>
    </sheetView>
  </sheetViews>
  <sheetFormatPr defaultColWidth="9.28515625" defaultRowHeight="12.75"/>
  <cols>
    <col min="1" max="1" width="37.42578125" style="35" customWidth="1"/>
    <col min="2" max="2" width="255.42578125" style="35" customWidth="1"/>
    <col min="3" max="16384" width="9.28515625" style="35"/>
  </cols>
  <sheetData>
    <row r="1" spans="1:2" ht="30.75" customHeight="1">
      <c r="A1" s="421" t="s">
        <v>57</v>
      </c>
      <c r="B1" s="490" t="str">
        <f>'Set Up Details'!C2</f>
        <v>Test1</v>
      </c>
    </row>
    <row r="2" spans="1:2" ht="41.25" customHeight="1">
      <c r="A2" s="706" t="s">
        <v>357</v>
      </c>
      <c r="B2" s="706"/>
    </row>
    <row r="3" spans="1:2" ht="40.15" customHeight="1">
      <c r="A3" s="510" t="s">
        <v>94</v>
      </c>
      <c r="B3" s="511"/>
    </row>
    <row r="4" spans="1:2" ht="56.25" customHeight="1">
      <c r="A4" s="509" t="s">
        <v>358</v>
      </c>
      <c r="B4" s="443" t="s">
        <v>359</v>
      </c>
    </row>
    <row r="5" spans="1:2" ht="40.15" customHeight="1">
      <c r="A5" s="509" t="s">
        <v>333</v>
      </c>
      <c r="B5" s="443"/>
    </row>
    <row r="6" spans="1:2" ht="177.75" customHeight="1">
      <c r="A6" s="509" t="s">
        <v>463</v>
      </c>
      <c r="B6" s="443"/>
    </row>
    <row r="7" spans="1:2" ht="40.15" customHeight="1">
      <c r="A7" s="509" t="s">
        <v>321</v>
      </c>
      <c r="B7" s="443"/>
    </row>
    <row r="8" spans="1:2" ht="40.15" customHeight="1">
      <c r="A8" s="509" t="s">
        <v>360</v>
      </c>
      <c r="B8" s="443"/>
    </row>
    <row r="9" spans="1:2" ht="40.15" customHeight="1">
      <c r="A9" s="509" t="s">
        <v>95</v>
      </c>
      <c r="B9" s="443"/>
    </row>
    <row r="10" spans="1:2" ht="40.15" customHeight="1">
      <c r="A10" s="509" t="s">
        <v>361</v>
      </c>
      <c r="B10" s="443"/>
    </row>
    <row r="11" spans="1:2" ht="40.15" customHeight="1">
      <c r="A11" s="509" t="s">
        <v>362</v>
      </c>
      <c r="B11" s="443"/>
    </row>
    <row r="12" spans="1:2" ht="40.15" customHeight="1">
      <c r="A12" s="509" t="s">
        <v>149</v>
      </c>
      <c r="B12" s="443"/>
    </row>
    <row r="13" spans="1:2" ht="40.15" customHeight="1">
      <c r="A13" s="509" t="s">
        <v>363</v>
      </c>
      <c r="B13" s="443"/>
    </row>
    <row r="14" spans="1:2" ht="40.15" customHeight="1">
      <c r="A14" s="509" t="s">
        <v>364</v>
      </c>
      <c r="B14" s="443"/>
    </row>
    <row r="15" spans="1:2" ht="40.15" customHeight="1">
      <c r="A15" s="509"/>
      <c r="B15" s="443"/>
    </row>
    <row r="16" spans="1:2" ht="40.15" customHeight="1">
      <c r="A16" s="509"/>
      <c r="B16" s="443"/>
    </row>
    <row r="17" spans="1:2" ht="40.15" customHeight="1">
      <c r="A17" s="509"/>
      <c r="B17" s="443"/>
    </row>
    <row r="18" spans="1:2" ht="40.15" customHeight="1">
      <c r="A18" s="509"/>
      <c r="B18" s="443"/>
    </row>
    <row r="19" spans="1:2" ht="18" customHeight="1"/>
    <row r="20" spans="1:2" ht="18" customHeight="1"/>
    <row r="21" spans="1:2" ht="18" customHeight="1"/>
    <row r="22" spans="1:2" ht="18" customHeight="1"/>
    <row r="23" spans="1:2" ht="18" customHeight="1"/>
    <row r="24" spans="1:2" ht="18" customHeight="1"/>
    <row r="25" spans="1:2" ht="18" customHeight="1"/>
    <row r="26" spans="1:2" ht="18" customHeight="1"/>
    <row r="27" spans="1:2" ht="18" customHeight="1"/>
    <row r="28" spans="1:2" ht="18" customHeight="1"/>
    <row r="29" spans="1:2" ht="18" customHeight="1"/>
    <row r="30" spans="1:2" ht="18" customHeight="1"/>
    <row r="31" spans="1:2" ht="18" customHeight="1"/>
  </sheetData>
  <mergeCells count="1">
    <mergeCell ref="A2:B2"/>
  </mergeCells>
  <pageMargins left="0.23622047244094491" right="0.23622047244094491" top="0.74803149606299213" bottom="0.74803149606299213" header="0.31496062992125984" footer="0.31496062992125984"/>
  <pageSetup paperSize="9" scale="65" orientation="landscape" r:id="rId1"/>
  <headerFooter>
    <oddHeader>&amp;L&amp;A&amp;CSelf-Employment Assistance</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A32C-2A44-4A35-BC21-639FE16F197C}">
  <sheetPr codeName="Sheet14">
    <tabColor theme="3" tint="-0.249977111117893"/>
    <pageSetUpPr fitToPage="1"/>
  </sheetPr>
  <dimension ref="A1:K25"/>
  <sheetViews>
    <sheetView topLeftCell="A2" zoomScale="90" zoomScaleNormal="90" workbookViewId="0">
      <selection activeCell="K9" sqref="K9"/>
    </sheetView>
  </sheetViews>
  <sheetFormatPr defaultColWidth="9.28515625" defaultRowHeight="12.75"/>
  <cols>
    <col min="1" max="1" width="57" style="35" customWidth="1"/>
    <col min="2" max="2" width="27.140625" style="35" bestFit="1" customWidth="1"/>
    <col min="3" max="3" width="28.85546875" style="35" bestFit="1" customWidth="1"/>
    <col min="4" max="4" width="2.28515625" style="35" customWidth="1"/>
    <col min="5" max="5" width="51.28515625" style="35" customWidth="1"/>
    <col min="6" max="6" width="10.7109375" style="35" customWidth="1"/>
    <col min="7" max="9" width="9.28515625" style="35"/>
    <col min="10" max="10" width="0" style="35" hidden="1" customWidth="1"/>
    <col min="11" max="16384" width="9.28515625" style="35"/>
  </cols>
  <sheetData>
    <row r="1" spans="1:10" ht="30" customHeight="1">
      <c r="A1" s="421" t="s">
        <v>181</v>
      </c>
      <c r="B1" s="583" t="str">
        <f>'Set Up Details'!C2</f>
        <v>Test1</v>
      </c>
      <c r="C1" s="583"/>
      <c r="D1" s="583"/>
      <c r="E1" s="583"/>
      <c r="F1" s="583"/>
      <c r="G1" s="583"/>
    </row>
    <row r="3" spans="1:10" ht="24.75" customHeight="1">
      <c r="A3" s="526" t="s">
        <v>365</v>
      </c>
      <c r="B3" s="526"/>
      <c r="C3" s="526"/>
      <c r="E3" s="526" t="s">
        <v>464</v>
      </c>
      <c r="F3" s="526"/>
      <c r="G3" s="526"/>
    </row>
    <row r="4" spans="1:10" ht="22.5" customHeight="1" thickBot="1">
      <c r="D4" s="37"/>
      <c r="E4" s="526"/>
      <c r="F4" s="526"/>
      <c r="G4" s="526"/>
    </row>
    <row r="5" spans="1:10" ht="28.5" customHeight="1" thickBot="1">
      <c r="A5" s="445" t="s">
        <v>366</v>
      </c>
      <c r="B5" s="645" t="e">
        <f>IF('Tables and Calculations'!P4&gt;1,(F6+'Tables and Calculations'!P4),"0")</f>
        <v>#VALUE!</v>
      </c>
      <c r="C5" s="645"/>
      <c r="D5" s="291" t="e">
        <v>#REF!</v>
      </c>
      <c r="E5" s="291"/>
      <c r="F5" s="291"/>
    </row>
    <row r="6" spans="1:10" ht="24.75" customHeight="1">
      <c r="E6" s="444" t="s">
        <v>367</v>
      </c>
      <c r="F6" s="478"/>
      <c r="G6" s="292" t="s">
        <v>368</v>
      </c>
    </row>
    <row r="7" spans="1:10" ht="30" customHeight="1">
      <c r="A7" s="526" t="s">
        <v>369</v>
      </c>
      <c r="B7" s="442" t="s">
        <v>370</v>
      </c>
      <c r="C7" s="442" t="s">
        <v>371</v>
      </c>
      <c r="E7" s="444" t="s">
        <v>372</v>
      </c>
      <c r="F7" s="478"/>
      <c r="G7" s="292" t="s">
        <v>373</v>
      </c>
      <c r="J7" s="293" t="s">
        <v>374</v>
      </c>
    </row>
    <row r="8" spans="1:10" ht="21" customHeight="1" thickBot="1">
      <c r="A8" s="526"/>
      <c r="B8" s="503">
        <v>0</v>
      </c>
      <c r="C8" s="503" t="e">
        <f>F11</f>
        <v>#VALUE!</v>
      </c>
      <c r="D8" s="294"/>
      <c r="J8" s="35" t="s">
        <v>102</v>
      </c>
    </row>
    <row r="9" spans="1:10" ht="34.5" customHeight="1" thickBot="1">
      <c r="A9" s="512" t="s">
        <v>375</v>
      </c>
      <c r="B9" s="712" t="s">
        <v>377</v>
      </c>
      <c r="C9" s="712"/>
      <c r="D9" s="295"/>
      <c r="E9" s="713" t="e">
        <f>IF('Tables and Calculations'!P4&gt;1,IF(F7&gt;1,IF(F11&gt;F7,"Your intended hourly rate is below your breakeven rate"," ")," "),0)</f>
        <v>#VALUE!</v>
      </c>
      <c r="F9" s="714"/>
      <c r="G9" s="715"/>
      <c r="J9" s="35" t="s">
        <v>34</v>
      </c>
    </row>
    <row r="10" spans="1:10" ht="27.75" customHeight="1" thickBot="1">
      <c r="A10" s="445" t="s">
        <v>376</v>
      </c>
      <c r="B10" s="645" t="e">
        <f>IF($B$9="monthly",B5/12,IF(B9="weekly",B5/F15,B5))</f>
        <v>#VALUE!</v>
      </c>
      <c r="C10" s="645"/>
      <c r="D10" s="295"/>
      <c r="J10" s="35" t="s">
        <v>377</v>
      </c>
    </row>
    <row r="11" spans="1:10" ht="27.75" customHeight="1" thickBot="1">
      <c r="A11" s="445" t="s">
        <v>378</v>
      </c>
      <c r="B11" s="445" t="str">
        <f>IF('Sales Forecast Year 1'!P40&gt;1,IF(B10&gt;1,(IF($B$10&gt;1,($B$10/F7),0)),0)," ")</f>
        <v xml:space="preserve"> </v>
      </c>
      <c r="C11" s="445" t="str">
        <f>IF('Sales Forecast Year 1'!P40&gt;1,IF(B10&gt;1,IF($B$10&gt;1,($B$10/F11)),0)," ")</f>
        <v xml:space="preserve"> </v>
      </c>
      <c r="D11" s="295"/>
      <c r="E11" s="526" t="s">
        <v>379</v>
      </c>
      <c r="F11" s="707" t="e">
        <f>IF('Tables and Calculations'!P4&gt;1,IF(F22&gt;1,((F6+'Tables and Calculations'!P4)/(F22*F24)),0),0)</f>
        <v>#VALUE!</v>
      </c>
      <c r="G11" s="707"/>
    </row>
    <row r="12" spans="1:10" ht="24.75" customHeight="1" thickBot="1">
      <c r="D12" s="295"/>
      <c r="E12" s="526"/>
      <c r="F12" s="707"/>
      <c r="G12" s="707"/>
    </row>
    <row r="13" spans="1:10" ht="12.75" customHeight="1" thickBot="1">
      <c r="D13" s="295"/>
      <c r="E13" s="296"/>
      <c r="F13" s="297"/>
      <c r="G13" s="298"/>
    </row>
    <row r="14" spans="1:10" ht="24.75" customHeight="1" thickBot="1">
      <c r="A14" s="708" t="s">
        <v>380</v>
      </c>
      <c r="B14" s="708"/>
      <c r="C14" s="708"/>
      <c r="E14" s="709" t="s">
        <v>381</v>
      </c>
      <c r="F14" s="710"/>
      <c r="G14" s="711"/>
    </row>
    <row r="15" spans="1:10" ht="24.75" customHeight="1">
      <c r="A15" s="708"/>
      <c r="B15" s="708"/>
      <c r="C15" s="708"/>
      <c r="E15" s="499" t="s">
        <v>382</v>
      </c>
      <c r="F15" s="443">
        <v>52</v>
      </c>
      <c r="G15" s="299"/>
    </row>
    <row r="16" spans="1:10" ht="24.75" customHeight="1">
      <c r="A16" s="708"/>
      <c r="B16" s="708"/>
      <c r="C16" s="708"/>
      <c r="D16" s="300"/>
      <c r="E16" s="499" t="s">
        <v>383</v>
      </c>
      <c r="F16" s="513">
        <v>5</v>
      </c>
      <c r="G16" s="299"/>
    </row>
    <row r="17" spans="4:11" ht="24.75" customHeight="1">
      <c r="E17" s="499" t="s">
        <v>384</v>
      </c>
      <c r="F17" s="443">
        <v>10</v>
      </c>
      <c r="G17" s="299"/>
      <c r="I17" s="36"/>
      <c r="J17" s="301"/>
    </row>
    <row r="18" spans="4:11" ht="24.75" customHeight="1">
      <c r="E18" s="499" t="s">
        <v>385</v>
      </c>
      <c r="F18" s="513">
        <v>7</v>
      </c>
      <c r="G18" s="299"/>
    </row>
    <row r="19" spans="4:11" ht="24.75" customHeight="1">
      <c r="E19" s="660" t="s">
        <v>386</v>
      </c>
      <c r="F19" s="660"/>
      <c r="G19" s="443">
        <v>1</v>
      </c>
    </row>
    <row r="20" spans="4:11" ht="46.5" customHeight="1" thickBot="1">
      <c r="D20" s="302"/>
      <c r="E20" s="499" t="s">
        <v>387</v>
      </c>
      <c r="F20" s="513">
        <v>14</v>
      </c>
      <c r="G20" s="303"/>
      <c r="I20" s="36"/>
    </row>
    <row r="21" spans="4:11" ht="15" customHeight="1" thickBot="1">
      <c r="D21" s="302"/>
      <c r="E21" s="526" t="s">
        <v>388</v>
      </c>
      <c r="F21" s="445"/>
      <c r="G21" s="445"/>
      <c r="I21" s="36"/>
      <c r="K21" s="301"/>
    </row>
    <row r="22" spans="4:11" ht="24.75" customHeight="1" thickBot="1">
      <c r="D22" s="302"/>
      <c r="E22" s="526"/>
      <c r="F22" s="445">
        <f>(((F15*F16-F17)*F18)*G19)-(F15*F20)</f>
        <v>1022</v>
      </c>
      <c r="G22" s="445" t="s">
        <v>389</v>
      </c>
    </row>
    <row r="23" spans="4:11" ht="12.75" customHeight="1" thickBot="1">
      <c r="D23" s="302"/>
      <c r="E23" s="526"/>
      <c r="F23" s="445"/>
      <c r="G23" s="445"/>
    </row>
    <row r="24" spans="4:11" ht="24.75" customHeight="1" thickBot="1">
      <c r="E24" s="444" t="s">
        <v>390</v>
      </c>
      <c r="F24" s="481">
        <v>1</v>
      </c>
      <c r="G24" s="304"/>
    </row>
    <row r="25" spans="4:11" ht="24.75" customHeight="1"/>
  </sheetData>
  <mergeCells count="14">
    <mergeCell ref="B9:C9"/>
    <mergeCell ref="E9:G9"/>
    <mergeCell ref="B1:G1"/>
    <mergeCell ref="A3:C3"/>
    <mergeCell ref="E3:G4"/>
    <mergeCell ref="B5:C5"/>
    <mergeCell ref="A7:A8"/>
    <mergeCell ref="E21:E23"/>
    <mergeCell ref="B10:C10"/>
    <mergeCell ref="E11:E12"/>
    <mergeCell ref="F11:G12"/>
    <mergeCell ref="A14:C16"/>
    <mergeCell ref="E14:G14"/>
    <mergeCell ref="E19:F19"/>
  </mergeCells>
  <dataValidations count="1">
    <dataValidation type="list" allowBlank="1" showInputMessage="1" showErrorMessage="1" sqref="B9:C9" xr:uid="{33422494-CC19-45E4-A14D-59B2F164A96B}">
      <formula1>$J$8:$J$10</formula1>
    </dataValidation>
  </dataValidations>
  <pageMargins left="0.25" right="0.25" top="0.75" bottom="0.75" header="0.3" footer="0.3"/>
  <pageSetup paperSize="9" scale="80" orientation="landscape" r:id="rId1"/>
  <headerFooter>
    <oddHeader>&amp;L&amp;A&amp;CSelf-Employment Assistance</oddHeader>
  </headerFooter>
  <drawing r:id="rId2"/>
  <legacyDrawing r:id="rId3"/>
  <tableParts count="1">
    <tablePart r:id="rId4"/>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83DD-8515-4E04-8EFC-1E1C383891B0}">
  <sheetPr codeName="Sheet16">
    <tabColor theme="3" tint="-0.249977111117893"/>
    <pageSetUpPr fitToPage="1"/>
  </sheetPr>
  <dimension ref="A1:M27"/>
  <sheetViews>
    <sheetView zoomScale="80" zoomScaleNormal="80" workbookViewId="0">
      <selection activeCell="D4" sqref="D4"/>
    </sheetView>
  </sheetViews>
  <sheetFormatPr defaultColWidth="9.28515625" defaultRowHeight="12.75"/>
  <cols>
    <col min="1" max="1" width="28.7109375" style="35" customWidth="1"/>
    <col min="2" max="2" width="8.28515625" style="35" customWidth="1"/>
    <col min="3" max="3" width="12.5703125" style="35" customWidth="1"/>
    <col min="4" max="4" width="12" style="35" customWidth="1"/>
    <col min="5" max="5" width="20.42578125" style="35" customWidth="1"/>
    <col min="6" max="6" width="2.7109375" style="35" customWidth="1"/>
    <col min="7" max="7" width="47.28515625" style="35" customWidth="1"/>
    <col min="8" max="9" width="13.28515625" style="35" customWidth="1"/>
    <col min="10" max="10" width="14.28515625" style="35" customWidth="1"/>
    <col min="11" max="11" width="14.42578125" style="35" customWidth="1"/>
    <col min="12" max="12" width="10.7109375" style="35" bestFit="1" customWidth="1"/>
    <col min="13" max="13" width="10.7109375" style="35" hidden="1" customWidth="1"/>
    <col min="14" max="14" width="10.5703125" style="35" bestFit="1" customWidth="1"/>
    <col min="15" max="28" width="9.28515625" style="35"/>
    <col min="29" max="29" width="14.42578125" style="35" bestFit="1" customWidth="1"/>
    <col min="30" max="16384" width="9.28515625" style="35"/>
  </cols>
  <sheetData>
    <row r="1" spans="1:13" ht="30" customHeight="1">
      <c r="A1" s="421" t="s">
        <v>181</v>
      </c>
      <c r="B1" s="583" t="str">
        <f>'Set Up Details'!C2</f>
        <v>Test1</v>
      </c>
      <c r="C1" s="583"/>
      <c r="D1" s="583"/>
      <c r="E1" s="583"/>
      <c r="F1" s="583"/>
      <c r="G1" s="583"/>
      <c r="H1" s="583"/>
      <c r="I1" s="583"/>
      <c r="J1" s="583"/>
      <c r="K1" s="583"/>
    </row>
    <row r="3" spans="1:13" ht="30" customHeight="1">
      <c r="A3" s="526" t="s">
        <v>391</v>
      </c>
      <c r="B3" s="526"/>
      <c r="C3" s="526"/>
      <c r="D3" s="526"/>
      <c r="E3" s="526"/>
    </row>
    <row r="4" spans="1:13" ht="22.5" customHeight="1" thickBot="1">
      <c r="E4" s="37"/>
      <c r="F4" s="37"/>
    </row>
    <row r="5" spans="1:13" ht="39" customHeight="1" thickBot="1">
      <c r="A5" s="719" t="s">
        <v>392</v>
      </c>
      <c r="B5" s="719"/>
      <c r="C5" s="719"/>
      <c r="D5" s="719"/>
      <c r="E5" s="515" t="e">
        <f>IF('Tables and Calculations'!P4&gt;1,(J5+'Tables and Calculations'!P4)/J6,"0")</f>
        <v>#VALUE!</v>
      </c>
      <c r="F5" s="305"/>
      <c r="G5" s="526" t="s">
        <v>393</v>
      </c>
      <c r="H5" s="526"/>
      <c r="I5" s="526"/>
      <c r="J5" s="478"/>
      <c r="K5" s="306" t="s">
        <v>368</v>
      </c>
    </row>
    <row r="6" spans="1:13" ht="24.75" customHeight="1" thickBot="1">
      <c r="G6" s="720" t="s">
        <v>394</v>
      </c>
      <c r="H6" s="720"/>
      <c r="I6" s="720"/>
      <c r="J6" s="307">
        <f>IF(SUM('Sales Details'!E6:E20)&gt;1%,AVERAGE('Sales Details'!E6:E20)," ")</f>
        <v>0.9</v>
      </c>
    </row>
    <row r="7" spans="1:13" ht="30" customHeight="1" thickTop="1">
      <c r="A7" s="721" t="e">
        <f>IF('Breakeven Analysis - Product'!E5&gt;1,IF(('Cash Flow Year 1'!O12-'Cash Flow Year 1'!R12)&gt;'Breakeven Analysis - Product'!E5,"Forecast Sales exceed breakeven sales","Forecast Sales are less than breakeven sales"),"cannot calculate  ")</f>
        <v>#VALUE!</v>
      </c>
      <c r="B7" s="722"/>
      <c r="C7" s="722"/>
      <c r="D7" s="722"/>
      <c r="E7" s="723"/>
    </row>
    <row r="8" spans="1:13" ht="30" customHeight="1" thickBot="1">
      <c r="A8" s="724"/>
      <c r="B8" s="725"/>
      <c r="C8" s="725"/>
      <c r="D8" s="725"/>
      <c r="E8" s="726"/>
    </row>
    <row r="9" spans="1:13" ht="45" customHeight="1" thickTop="1" thickBot="1">
      <c r="A9" s="308"/>
      <c r="B9" s="308"/>
      <c r="C9" s="308"/>
      <c r="D9" s="308"/>
      <c r="E9" s="308"/>
      <c r="G9" s="716" t="s">
        <v>395</v>
      </c>
      <c r="H9" s="716"/>
      <c r="I9" s="716"/>
      <c r="J9" s="716"/>
    </row>
    <row r="10" spans="1:13" ht="42.75" customHeight="1" thickTop="1" thickBot="1">
      <c r="A10" s="717" t="s">
        <v>396</v>
      </c>
      <c r="B10" s="717"/>
      <c r="C10" s="717"/>
      <c r="D10" s="717"/>
      <c r="E10" s="717"/>
      <c r="F10" s="294"/>
      <c r="G10" s="718" t="s">
        <v>397</v>
      </c>
      <c r="H10" s="718"/>
      <c r="I10" s="718"/>
      <c r="J10" s="718"/>
      <c r="K10" s="309" t="s">
        <v>398</v>
      </c>
    </row>
    <row r="11" spans="1:13" ht="57" customHeight="1" thickBot="1">
      <c r="A11" s="717"/>
      <c r="B11" s="717"/>
      <c r="C11" s="717"/>
      <c r="D11" s="717"/>
      <c r="E11" s="717"/>
      <c r="F11" s="295"/>
      <c r="G11" s="516" t="s">
        <v>399</v>
      </c>
      <c r="H11" s="516" t="s">
        <v>400</v>
      </c>
      <c r="I11" s="516" t="s">
        <v>401</v>
      </c>
      <c r="J11" s="310" t="s">
        <v>402</v>
      </c>
      <c r="K11" s="445">
        <f>SUM(K12:K26)</f>
        <v>0</v>
      </c>
      <c r="M11" s="311" t="e">
        <f>SUM(M12:M26)</f>
        <v>#VALUE!</v>
      </c>
    </row>
    <row r="12" spans="1:13" ht="21" customHeight="1" thickBot="1">
      <c r="F12" s="295"/>
      <c r="G12" s="444"/>
      <c r="H12" s="481"/>
      <c r="I12" s="481"/>
      <c r="J12" s="312">
        <f>100%-SUM(J13:J26)</f>
        <v>1</v>
      </c>
      <c r="K12" s="443"/>
      <c r="M12" s="311">
        <f t="shared" ref="M12:M26" si="0">K12*H12</f>
        <v>0</v>
      </c>
    </row>
    <row r="13" spans="1:13" ht="21" customHeight="1">
      <c r="F13" s="295"/>
      <c r="G13" s="444" t="str">
        <f>'Sales Forecast Year 1'!A26</f>
        <v>Test-category-1</v>
      </c>
      <c r="H13" s="481">
        <f>'Sales Details'!E7</f>
        <v>0.9</v>
      </c>
      <c r="I13" s="481" t="str">
        <f>IF('Sales Forecast Year 1'!$P$40&gt;1,'Sales Forecast Year 1'!P26/'Sales Forecast Year 1'!$P$40," ")</f>
        <v xml:space="preserve"> </v>
      </c>
      <c r="J13" s="481"/>
      <c r="K13" s="443" t="str">
        <f>IF('Sales Forecast Year 1'!$P$40&gt;1,$E$5*J13," ")</f>
        <v xml:space="preserve"> </v>
      </c>
      <c r="M13" s="311" t="e">
        <f t="shared" si="0"/>
        <v>#VALUE!</v>
      </c>
    </row>
    <row r="14" spans="1:13" ht="21" customHeight="1">
      <c r="F14" s="295"/>
      <c r="G14" s="444" t="str">
        <f>'Sales Forecast Year 1'!A27</f>
        <v>Test-category-2</v>
      </c>
      <c r="H14" s="481">
        <f>'Sales Details'!E8</f>
        <v>0.9</v>
      </c>
      <c r="I14" s="481" t="str">
        <f>IF('Sales Forecast Year 1'!$P$40&gt;1,'Sales Forecast Year 1'!P27/'Sales Forecast Year 1'!$P$40," ")</f>
        <v xml:space="preserve"> </v>
      </c>
      <c r="J14" s="481"/>
      <c r="K14" s="443" t="str">
        <f>IF('Sales Forecast Year 1'!$P$40&gt;1,$E$5*J14," ")</f>
        <v xml:space="preserve"> </v>
      </c>
      <c r="M14" s="311" t="e">
        <f t="shared" si="0"/>
        <v>#VALUE!</v>
      </c>
    </row>
    <row r="15" spans="1:13" ht="21" customHeight="1">
      <c r="F15" s="295"/>
      <c r="G15" s="444" t="str">
        <f>'Sales Forecast Year 1'!A28</f>
        <v>Test-category-3</v>
      </c>
      <c r="H15" s="481" t="str">
        <f>'Sales Details'!E9</f>
        <v/>
      </c>
      <c r="I15" s="481" t="str">
        <f>IF('Sales Forecast Year 1'!$P$40&gt;1,'Sales Forecast Year 1'!P28/'Sales Forecast Year 1'!$P$40," ")</f>
        <v xml:space="preserve"> </v>
      </c>
      <c r="J15" s="481"/>
      <c r="K15" s="443" t="str">
        <f>IF('Sales Forecast Year 1'!$P$40&gt;1,$E$5*J15," ")</f>
        <v xml:space="preserve"> </v>
      </c>
      <c r="M15" s="311" t="e">
        <f t="shared" si="0"/>
        <v>#VALUE!</v>
      </c>
    </row>
    <row r="16" spans="1:13" ht="21" customHeight="1">
      <c r="G16" s="444" t="str">
        <f>'Sales Forecast Year 1'!A29</f>
        <v xml:space="preserve"> </v>
      </c>
      <c r="H16" s="481" t="str">
        <f>'Sales Details'!E10</f>
        <v/>
      </c>
      <c r="I16" s="481" t="str">
        <f>IF('Sales Forecast Year 1'!$P$40&gt;1,'Sales Forecast Year 1'!P29/'Sales Forecast Year 1'!$P$40," ")</f>
        <v xml:space="preserve"> </v>
      </c>
      <c r="J16" s="481"/>
      <c r="K16" s="443" t="str">
        <f>IF('Sales Forecast Year 1'!$P$40&gt;1,$E$5*J16," ")</f>
        <v xml:space="preserve"> </v>
      </c>
      <c r="M16" s="311" t="e">
        <f t="shared" si="0"/>
        <v>#VALUE!</v>
      </c>
    </row>
    <row r="17" spans="6:13" ht="21" customHeight="1">
      <c r="G17" s="444" t="str">
        <f>'Sales Forecast Year 1'!A30</f>
        <v xml:space="preserve"> </v>
      </c>
      <c r="H17" s="481" t="str">
        <f>'Sales Details'!E11</f>
        <v/>
      </c>
      <c r="I17" s="481" t="str">
        <f>IF('Sales Forecast Year 1'!$P$40&gt;1,'Sales Forecast Year 1'!P30/'Sales Forecast Year 1'!$P$40," ")</f>
        <v xml:space="preserve"> </v>
      </c>
      <c r="J17" s="481"/>
      <c r="K17" s="443" t="str">
        <f>IF('Sales Forecast Year 1'!$P$40&gt;1,$E$5*J17," ")</f>
        <v xml:space="preserve"> </v>
      </c>
      <c r="M17" s="311" t="e">
        <f t="shared" si="0"/>
        <v>#VALUE!</v>
      </c>
    </row>
    <row r="18" spans="6:13" ht="21" customHeight="1">
      <c r="F18" s="300"/>
      <c r="G18" s="444" t="str">
        <f>'Sales Forecast Year 1'!A31</f>
        <v xml:space="preserve"> </v>
      </c>
      <c r="H18" s="481" t="str">
        <f>'Sales Details'!E12</f>
        <v/>
      </c>
      <c r="I18" s="481" t="str">
        <f>IF('Sales Forecast Year 1'!$P$40&gt;1,'Sales Forecast Year 1'!P31/'Sales Forecast Year 1'!$P$40," ")</f>
        <v xml:space="preserve"> </v>
      </c>
      <c r="J18" s="481"/>
      <c r="K18" s="443" t="str">
        <f>IF('Sales Forecast Year 1'!$P$40&gt;1,$E$5*J18," ")</f>
        <v xml:space="preserve"> </v>
      </c>
      <c r="M18" s="311" t="e">
        <f t="shared" si="0"/>
        <v>#VALUE!</v>
      </c>
    </row>
    <row r="19" spans="6:13" ht="21" customHeight="1">
      <c r="G19" s="444" t="str">
        <f>'Sales Forecast Year 1'!A32</f>
        <v xml:space="preserve"> </v>
      </c>
      <c r="H19" s="481" t="str">
        <f>'Sales Details'!E13</f>
        <v/>
      </c>
      <c r="I19" s="481" t="str">
        <f>IF('Sales Forecast Year 1'!$P$40&gt;1,'Sales Forecast Year 1'!P32/'Sales Forecast Year 1'!$P$40," ")</f>
        <v xml:space="preserve"> </v>
      </c>
      <c r="J19" s="481"/>
      <c r="K19" s="443" t="str">
        <f>IF('Sales Forecast Year 1'!$P$40&gt;1,$E$5*J19," ")</f>
        <v xml:space="preserve"> </v>
      </c>
      <c r="M19" s="311" t="e">
        <f t="shared" si="0"/>
        <v>#VALUE!</v>
      </c>
    </row>
    <row r="20" spans="6:13" ht="21" customHeight="1">
      <c r="G20" s="444" t="str">
        <f>'Sales Forecast Year 1'!A33</f>
        <v xml:space="preserve"> </v>
      </c>
      <c r="H20" s="481" t="str">
        <f>'Sales Details'!E14</f>
        <v/>
      </c>
      <c r="I20" s="481" t="str">
        <f>IF('Sales Forecast Year 1'!$P$40&gt;1,'Sales Forecast Year 1'!P33/'Sales Forecast Year 1'!$P$40," ")</f>
        <v xml:space="preserve"> </v>
      </c>
      <c r="J20" s="481"/>
      <c r="K20" s="443" t="str">
        <f>IF('Sales Forecast Year 1'!$P$40&gt;1,$E$5*J20," ")</f>
        <v xml:space="preserve"> </v>
      </c>
      <c r="M20" s="311" t="e">
        <f t="shared" si="0"/>
        <v>#VALUE!</v>
      </c>
    </row>
    <row r="21" spans="6:13" ht="21" customHeight="1">
      <c r="G21" s="444" t="str">
        <f>'Sales Forecast Year 1'!A34</f>
        <v xml:space="preserve"> </v>
      </c>
      <c r="H21" s="481" t="str">
        <f>'Sales Details'!E15</f>
        <v/>
      </c>
      <c r="I21" s="481" t="str">
        <f>IF('Sales Forecast Year 1'!$P$40&gt;1,'Sales Forecast Year 1'!P34/'Sales Forecast Year 1'!$P$40," ")</f>
        <v xml:space="preserve"> </v>
      </c>
      <c r="J21" s="481"/>
      <c r="K21" s="443" t="str">
        <f>IF('Sales Forecast Year 1'!$P$40&gt;1,$E$5*J21," ")</f>
        <v xml:space="preserve"> </v>
      </c>
      <c r="M21" s="311" t="e">
        <f t="shared" si="0"/>
        <v>#VALUE!</v>
      </c>
    </row>
    <row r="22" spans="6:13" ht="21" customHeight="1">
      <c r="F22" s="302"/>
      <c r="G22" s="444" t="str">
        <f>'Sales Forecast Year 1'!A35</f>
        <v xml:space="preserve"> </v>
      </c>
      <c r="H22" s="481" t="str">
        <f>'Sales Details'!E16</f>
        <v/>
      </c>
      <c r="I22" s="481" t="str">
        <f>IF('Sales Forecast Year 1'!$P$40&gt;1,'Sales Forecast Year 1'!P35/'Sales Forecast Year 1'!$P$40," ")</f>
        <v xml:space="preserve"> </v>
      </c>
      <c r="J22" s="481"/>
      <c r="K22" s="443" t="str">
        <f>IF('Sales Forecast Year 1'!$P$40&gt;1,$E$5*J22," ")</f>
        <v xml:space="preserve"> </v>
      </c>
      <c r="M22" s="311" t="e">
        <f t="shared" si="0"/>
        <v>#VALUE!</v>
      </c>
    </row>
    <row r="23" spans="6:13" ht="21" customHeight="1">
      <c r="F23" s="302"/>
      <c r="G23" s="444" t="str">
        <f>'Sales Forecast Year 1'!A36</f>
        <v xml:space="preserve"> </v>
      </c>
      <c r="H23" s="481" t="str">
        <f>'Sales Details'!E17</f>
        <v/>
      </c>
      <c r="I23" s="481" t="str">
        <f>IF('Sales Forecast Year 1'!$P$40&gt;1,'Sales Forecast Year 1'!P36/'Sales Forecast Year 1'!$P$40," ")</f>
        <v xml:space="preserve"> </v>
      </c>
      <c r="J23" s="481"/>
      <c r="K23" s="443" t="str">
        <f>IF('Sales Forecast Year 1'!$P$40&gt;1,$E$5*J23," ")</f>
        <v xml:space="preserve"> </v>
      </c>
      <c r="M23" s="311" t="e">
        <f t="shared" si="0"/>
        <v>#VALUE!</v>
      </c>
    </row>
    <row r="24" spans="6:13" ht="21" customHeight="1">
      <c r="F24" s="302"/>
      <c r="G24" s="444" t="str">
        <f>'Sales Forecast Year 1'!A37</f>
        <v xml:space="preserve"> </v>
      </c>
      <c r="H24" s="481" t="str">
        <f>'Sales Details'!E18</f>
        <v/>
      </c>
      <c r="I24" s="481" t="str">
        <f>IF('Sales Forecast Year 1'!$P$40&gt;1,'Sales Forecast Year 1'!P37/'Sales Forecast Year 1'!$P$40," ")</f>
        <v xml:space="preserve"> </v>
      </c>
      <c r="J24" s="481"/>
      <c r="K24" s="443" t="str">
        <f>IF('Sales Forecast Year 1'!$P$40&gt;1,$E$5*J24," ")</f>
        <v xml:space="preserve"> </v>
      </c>
      <c r="M24" s="311" t="e">
        <f t="shared" si="0"/>
        <v>#VALUE!</v>
      </c>
    </row>
    <row r="25" spans="6:13" ht="21" customHeight="1">
      <c r="F25" s="302"/>
      <c r="G25" s="444" t="str">
        <f>'Sales Forecast Year 1'!A38</f>
        <v xml:space="preserve"> </v>
      </c>
      <c r="H25" s="481" t="str">
        <f>'Sales Details'!E19</f>
        <v/>
      </c>
      <c r="I25" s="481" t="str">
        <f>IF('Sales Forecast Year 1'!$P$40&gt;1,'Sales Forecast Year 1'!P38/'Sales Forecast Year 1'!$P$40," ")</f>
        <v xml:space="preserve"> </v>
      </c>
      <c r="J25" s="481"/>
      <c r="K25" s="443" t="str">
        <f>IF('Sales Forecast Year 1'!$P$40&gt;1,$E$5*J25," ")</f>
        <v xml:space="preserve"> </v>
      </c>
      <c r="M25" s="311" t="e">
        <f t="shared" si="0"/>
        <v>#VALUE!</v>
      </c>
    </row>
    <row r="26" spans="6:13" ht="21" customHeight="1">
      <c r="G26" s="444" t="str">
        <f>'Sales Forecast Year 1'!A39</f>
        <v xml:space="preserve"> </v>
      </c>
      <c r="H26" s="481" t="str">
        <f>'Sales Details'!E20</f>
        <v/>
      </c>
      <c r="I26" s="481" t="str">
        <f>IF('Sales Forecast Year 1'!$P$40&gt;1,'Sales Forecast Year 1'!P39/'Sales Forecast Year 1'!$P$40," ")</f>
        <v xml:space="preserve"> </v>
      </c>
      <c r="J26" s="481"/>
      <c r="K26" s="443" t="str">
        <f>IF('Sales Forecast Year 1'!$P$40&gt;1,$E$5*J26," ")</f>
        <v xml:space="preserve"> </v>
      </c>
      <c r="M26" s="311" t="e">
        <f t="shared" si="0"/>
        <v>#VALUE!</v>
      </c>
    </row>
    <row r="27" spans="6:13" ht="24.75" customHeight="1"/>
  </sheetData>
  <mergeCells count="9">
    <mergeCell ref="G9:J9"/>
    <mergeCell ref="A10:E11"/>
    <mergeCell ref="G10:J10"/>
    <mergeCell ref="B1:K1"/>
    <mergeCell ref="A3:E3"/>
    <mergeCell ref="A5:D5"/>
    <mergeCell ref="G5:I5"/>
    <mergeCell ref="G6:I6"/>
    <mergeCell ref="A7:E8"/>
  </mergeCells>
  <pageMargins left="0.25" right="0.25" top="0.75" bottom="0.75" header="0.3" footer="0.3"/>
  <pageSetup paperSize="9" scale="71" orientation="landscape" r:id="rId1"/>
  <headerFooter>
    <oddHeader>&amp;L&amp;A&amp;CSelf-Employment Assistance</oddHeader>
  </headerFooter>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F733-31AC-4ECE-9347-6DC1656B3D68}">
  <sheetPr codeName="Sheet17">
    <tabColor theme="1" tint="0.39997558519241921"/>
    <pageSetUpPr fitToPage="1"/>
  </sheetPr>
  <dimension ref="A1:T57"/>
  <sheetViews>
    <sheetView topLeftCell="A16" zoomScale="85" zoomScaleNormal="85" workbookViewId="0">
      <selection activeCell="N23" sqref="N23:O23"/>
    </sheetView>
  </sheetViews>
  <sheetFormatPr defaultColWidth="8.7109375" defaultRowHeight="88.5" customHeight="1"/>
  <cols>
    <col min="1" max="1" width="19.28515625" style="5" customWidth="1"/>
    <col min="2" max="2" width="18" style="5" customWidth="1"/>
    <col min="3" max="3" width="13.7109375" style="5" customWidth="1"/>
    <col min="4" max="4" width="33.5703125" style="5" bestFit="1" customWidth="1"/>
    <col min="5" max="5" width="10.5703125" style="5" customWidth="1"/>
    <col min="6" max="6" width="13.42578125" style="5" bestFit="1" customWidth="1"/>
    <col min="7" max="7" width="18.42578125" style="5" customWidth="1"/>
    <col min="8" max="8" width="26" style="5" customWidth="1"/>
    <col min="9" max="11" width="8.7109375" style="5"/>
    <col min="12" max="12" width="11.7109375" style="5" customWidth="1"/>
    <col min="13" max="14" width="8.7109375" style="5"/>
    <col min="15" max="15" width="14.7109375" style="5" customWidth="1"/>
    <col min="16" max="16" width="8.7109375" style="6" customWidth="1"/>
    <col min="17" max="17" width="11.42578125" style="6" customWidth="1"/>
    <col min="18" max="18" width="14" style="5" customWidth="1"/>
    <col min="19" max="19" width="13.7109375" style="5" customWidth="1"/>
    <col min="20" max="20" width="14" style="5" customWidth="1"/>
    <col min="21" max="16384" width="8.7109375" style="5"/>
  </cols>
  <sheetData>
    <row r="1" spans="1:20" ht="34.5" customHeight="1" thickBot="1"/>
    <row r="2" spans="1:20" ht="48.75" customHeight="1" thickBot="1">
      <c r="A2" s="313" t="s">
        <v>403</v>
      </c>
      <c r="B2" s="314" t="str">
        <f>'Set Up Details'!D4</f>
        <v>Jan</v>
      </c>
      <c r="C2" s="314" t="str">
        <f>VLOOKUP(B2,Table2[],2,FALSE)</f>
        <v>Feb</v>
      </c>
      <c r="D2" s="314" t="str">
        <f>VLOOKUP(C2,Table2[],2,FALSE)</f>
        <v>Mar</v>
      </c>
      <c r="E2" s="314" t="str">
        <f>VLOOKUP(D2,Table2[],2,FALSE)</f>
        <v>Apr</v>
      </c>
      <c r="F2" s="315" t="str">
        <f>VLOOKUP(E2,Table2[],2,FALSE)</f>
        <v>May</v>
      </c>
      <c r="G2" s="315" t="str">
        <f>VLOOKUP(F2,Table2[],2,FALSE)</f>
        <v>Jun</v>
      </c>
      <c r="H2" s="315" t="str">
        <f>VLOOKUP(G2,Table2[],2,FALSE)</f>
        <v>Jul</v>
      </c>
      <c r="I2" s="315" t="str">
        <f>VLOOKUP(H2,Table2[],2,FALSE)</f>
        <v>Aug</v>
      </c>
      <c r="J2" s="315" t="str">
        <f>VLOOKUP(I2,Table2[],2,FALSE)</f>
        <v>Sep</v>
      </c>
      <c r="K2" s="315" t="str">
        <f>VLOOKUP(J2,Table2[],2,FALSE)</f>
        <v>Oct</v>
      </c>
      <c r="L2" s="315" t="str">
        <f>VLOOKUP(K2,Table2[],2,FALSE)</f>
        <v>Nov</v>
      </c>
      <c r="M2" s="315" t="str">
        <f>VLOOKUP(L2,Table2[],2,FALSE)</f>
        <v>Dec</v>
      </c>
    </row>
    <row r="3" spans="1:20" ht="36.75" customHeight="1" thickBot="1">
      <c r="A3" s="18"/>
    </row>
    <row r="4" spans="1:20" ht="42.75" customHeight="1" thickBot="1">
      <c r="A4" s="753" t="s">
        <v>404</v>
      </c>
      <c r="B4" s="754"/>
      <c r="C4" s="755"/>
      <c r="E4" s="316" t="s">
        <v>374</v>
      </c>
      <c r="F4" s="316" t="s">
        <v>405</v>
      </c>
      <c r="I4" s="317" t="s">
        <v>406</v>
      </c>
      <c r="J4" s="9"/>
      <c r="L4" s="8" t="s">
        <v>25</v>
      </c>
      <c r="M4" s="318">
        <v>1</v>
      </c>
      <c r="O4" s="6" t="s">
        <v>407</v>
      </c>
      <c r="P4" s="319" t="e">
        <f>'Cash Flow Year 1'!O74</f>
        <v>#VALUE!</v>
      </c>
      <c r="Q4" s="320"/>
    </row>
    <row r="5" spans="1:20" ht="36" customHeight="1">
      <c r="A5" s="321"/>
      <c r="B5" s="756" t="s">
        <v>314</v>
      </c>
      <c r="C5" s="756"/>
      <c r="E5" s="322" t="s">
        <v>25</v>
      </c>
      <c r="F5" s="322" t="s">
        <v>408</v>
      </c>
      <c r="I5" s="323" t="s">
        <v>409</v>
      </c>
      <c r="J5" s="14"/>
      <c r="L5" s="10" t="s">
        <v>408</v>
      </c>
      <c r="M5" s="324">
        <v>2</v>
      </c>
      <c r="O5" s="6"/>
      <c r="P5" s="325"/>
    </row>
    <row r="6" spans="1:20" ht="33" customHeight="1">
      <c r="A6" s="18" t="s">
        <v>410</v>
      </c>
      <c r="B6" s="326">
        <f>IF(AND('Set Up Details'!D10="yes",'Set Up Details'!D9="Register year 1"),F33,0)</f>
        <v>10</v>
      </c>
      <c r="C6" s="327">
        <f>(IF(B6&gt;1%,(B6/(100+B6)),0))</f>
        <v>9.0909090909090912E-2</v>
      </c>
      <c r="E6" s="328" t="s">
        <v>408</v>
      </c>
      <c r="F6" s="328" t="s">
        <v>411</v>
      </c>
      <c r="I6" s="323" t="s">
        <v>412</v>
      </c>
      <c r="J6" s="14"/>
      <c r="L6" s="10" t="s">
        <v>411</v>
      </c>
      <c r="M6" s="324">
        <v>3</v>
      </c>
      <c r="O6" s="6" t="s">
        <v>413</v>
      </c>
      <c r="P6" s="329">
        <f>ROUND(((SUM('Sales Details'!E6:E20))/COUNT('Sales Details'!E6:E20)),2)</f>
        <v>0.9</v>
      </c>
    </row>
    <row r="7" spans="1:20" ht="29.25" customHeight="1" thickBot="1">
      <c r="A7" s="18" t="s">
        <v>414</v>
      </c>
      <c r="B7" s="326">
        <f>IF('Set Up Details'!D9="Register year 1",F33,0)</f>
        <v>10</v>
      </c>
      <c r="C7" s="327">
        <f>(IF(B7&gt;1%,(B7/(100+B7)),0))</f>
        <v>9.0909090909090912E-2</v>
      </c>
      <c r="E7" s="328" t="s">
        <v>411</v>
      </c>
      <c r="F7" s="328" t="s">
        <v>415</v>
      </c>
      <c r="I7" s="330" t="s">
        <v>416</v>
      </c>
      <c r="J7" s="15"/>
      <c r="L7" s="10" t="s">
        <v>415</v>
      </c>
      <c r="M7" s="324">
        <v>4</v>
      </c>
      <c r="P7" s="757"/>
      <c r="Q7" s="757"/>
      <c r="R7" s="757"/>
      <c r="S7" s="757"/>
      <c r="T7" s="757"/>
    </row>
    <row r="8" spans="1:20" ht="26.25" customHeight="1" thickBot="1">
      <c r="A8" s="18"/>
      <c r="E8" s="328" t="s">
        <v>415</v>
      </c>
      <c r="F8" s="328" t="s">
        <v>417</v>
      </c>
      <c r="H8" s="6"/>
      <c r="L8" s="10" t="s">
        <v>417</v>
      </c>
      <c r="M8" s="324">
        <v>5</v>
      </c>
      <c r="Q8" s="20"/>
      <c r="R8" s="20"/>
      <c r="S8" s="20"/>
      <c r="T8" s="20"/>
    </row>
    <row r="9" spans="1:20" ht="35.25" customHeight="1">
      <c r="A9" s="321"/>
      <c r="B9" s="756" t="s">
        <v>316</v>
      </c>
      <c r="C9" s="756"/>
      <c r="E9" s="328" t="s">
        <v>417</v>
      </c>
      <c r="F9" s="328" t="s">
        <v>418</v>
      </c>
      <c r="I9" s="318" t="s">
        <v>27</v>
      </c>
      <c r="J9" s="331"/>
      <c r="K9" s="9"/>
      <c r="L9" s="10" t="s">
        <v>418</v>
      </c>
      <c r="M9" s="324">
        <v>6</v>
      </c>
      <c r="P9" s="332"/>
      <c r="Q9" s="333"/>
      <c r="S9" s="319"/>
    </row>
    <row r="10" spans="1:20" ht="26.25" customHeight="1">
      <c r="A10" s="18" t="s">
        <v>410</v>
      </c>
      <c r="B10" s="326">
        <f>IF('Set Up Details'!D10="yes",IF(OR('Set Up Details'!D9="Register year 1",'Set Up Details'!D9="Register year 2"),F33,0),0)</f>
        <v>10</v>
      </c>
      <c r="C10" s="327">
        <f>(IF(B10&gt;1,B10/(100+B10),0))</f>
        <v>9.0909090909090912E-2</v>
      </c>
      <c r="E10" s="328" t="s">
        <v>418</v>
      </c>
      <c r="F10" s="328" t="s">
        <v>419</v>
      </c>
      <c r="I10" s="324" t="s">
        <v>29</v>
      </c>
      <c r="K10" s="14"/>
      <c r="L10" s="10" t="s">
        <v>419</v>
      </c>
      <c r="M10" s="324">
        <v>7</v>
      </c>
      <c r="P10" s="332"/>
      <c r="Q10" s="333"/>
      <c r="S10" s="319"/>
    </row>
    <row r="11" spans="1:20" ht="33" customHeight="1" thickBot="1">
      <c r="A11" s="18" t="s">
        <v>414</v>
      </c>
      <c r="B11" s="326">
        <f>IF(OR('Set Up Details'!D9="Register year 1",'Set Up Details'!D9="Register year 2"),F33,0)</f>
        <v>10</v>
      </c>
      <c r="C11" s="327">
        <f>(IF(B11&gt;1,B11/(100+B11),0))</f>
        <v>9.0909090909090912E-2</v>
      </c>
      <c r="E11" s="328" t="s">
        <v>419</v>
      </c>
      <c r="F11" s="328" t="s">
        <v>420</v>
      </c>
      <c r="I11" s="334" t="s">
        <v>31</v>
      </c>
      <c r="J11" s="335"/>
      <c r="K11" s="15"/>
      <c r="L11" s="10" t="s">
        <v>420</v>
      </c>
      <c r="M11" s="324">
        <v>8</v>
      </c>
      <c r="P11" s="332"/>
      <c r="Q11" s="333"/>
      <c r="R11" s="319"/>
      <c r="S11" s="319"/>
      <c r="T11" s="319"/>
    </row>
    <row r="12" spans="1:20" ht="29.25" customHeight="1" thickBot="1">
      <c r="A12" s="18"/>
      <c r="E12" s="328" t="s">
        <v>420</v>
      </c>
      <c r="F12" s="328" t="s">
        <v>421</v>
      </c>
      <c r="L12" s="10" t="s">
        <v>421</v>
      </c>
      <c r="M12" s="324">
        <v>9</v>
      </c>
      <c r="P12" s="332"/>
      <c r="Q12" s="333"/>
      <c r="S12" s="319"/>
    </row>
    <row r="13" spans="1:20" ht="33" customHeight="1" thickBot="1">
      <c r="A13" s="753"/>
      <c r="B13" s="754"/>
      <c r="C13" s="755"/>
      <c r="E13" s="328" t="s">
        <v>421</v>
      </c>
      <c r="F13" s="328" t="s">
        <v>422</v>
      </c>
      <c r="I13" s="318" t="s">
        <v>34</v>
      </c>
      <c r="L13" s="10" t="s">
        <v>422</v>
      </c>
      <c r="M13" s="334">
        <v>10</v>
      </c>
      <c r="P13" s="332"/>
      <c r="Q13" s="333"/>
      <c r="S13" s="319"/>
    </row>
    <row r="14" spans="1:20" ht="26.25" customHeight="1" thickBot="1">
      <c r="A14" s="18"/>
      <c r="B14" s="13"/>
      <c r="C14" s="13"/>
      <c r="E14" s="328" t="s">
        <v>422</v>
      </c>
      <c r="F14" s="328" t="s">
        <v>423</v>
      </c>
      <c r="I14" s="334" t="s">
        <v>100</v>
      </c>
      <c r="L14" s="10" t="s">
        <v>423</v>
      </c>
      <c r="P14" s="332"/>
      <c r="Q14" s="333"/>
      <c r="R14" s="319"/>
      <c r="S14" s="319"/>
      <c r="T14" s="319"/>
    </row>
    <row r="15" spans="1:20" ht="36.75" customHeight="1" thickBot="1">
      <c r="A15" s="18"/>
      <c r="B15" s="325"/>
      <c r="C15" s="325"/>
      <c r="E15" s="328" t="s">
        <v>423</v>
      </c>
      <c r="F15" s="328" t="s">
        <v>37</v>
      </c>
      <c r="H15" s="325"/>
      <c r="L15" s="336" t="s">
        <v>37</v>
      </c>
      <c r="P15" s="332"/>
      <c r="Q15" s="333"/>
      <c r="S15" s="319"/>
    </row>
    <row r="16" spans="1:20" ht="36.75" customHeight="1" thickBot="1">
      <c r="A16" s="18"/>
      <c r="B16" s="325"/>
      <c r="C16" s="325"/>
      <c r="E16" s="328" t="s">
        <v>37</v>
      </c>
      <c r="F16" s="328" t="s">
        <v>25</v>
      </c>
      <c r="L16" s="8" t="s">
        <v>35</v>
      </c>
      <c r="P16" s="332"/>
      <c r="Q16" s="333"/>
      <c r="S16" s="319"/>
    </row>
    <row r="17" spans="1:20" ht="24" customHeight="1" thickBot="1">
      <c r="A17" s="18"/>
      <c r="B17" s="325"/>
      <c r="C17" s="325"/>
      <c r="E17" s="758" t="s">
        <v>424</v>
      </c>
      <c r="F17" s="759"/>
      <c r="G17" s="759"/>
      <c r="H17" s="760"/>
      <c r="L17" s="334" t="s">
        <v>36</v>
      </c>
      <c r="P17" s="332"/>
      <c r="Q17" s="333"/>
      <c r="R17" s="319"/>
      <c r="S17" s="319"/>
      <c r="T17" s="319"/>
    </row>
    <row r="18" spans="1:20" ht="47.25" customHeight="1" thickBot="1">
      <c r="A18" s="18"/>
      <c r="B18" s="325"/>
      <c r="C18" s="325"/>
      <c r="E18" s="17"/>
      <c r="G18" s="337" t="s">
        <v>314</v>
      </c>
      <c r="H18" s="337" t="s">
        <v>316</v>
      </c>
      <c r="P18" s="332"/>
      <c r="Q18" s="333"/>
      <c r="S18" s="319"/>
    </row>
    <row r="19" spans="1:20" ht="30" customHeight="1" thickBot="1">
      <c r="A19" s="18"/>
      <c r="B19" s="325"/>
      <c r="C19" s="325"/>
      <c r="E19" s="736" t="s">
        <v>425</v>
      </c>
      <c r="F19" s="737"/>
      <c r="G19" s="338" t="e">
        <f>'Profit &amp; Loss Statements'!C70</f>
        <v>#VALUE!</v>
      </c>
      <c r="H19" s="339" t="e">
        <f>'Profit &amp; Loss Statements'!E70</f>
        <v>#VALUE!</v>
      </c>
      <c r="P19" s="332"/>
      <c r="Q19" s="333"/>
      <c r="S19" s="319"/>
    </row>
    <row r="20" spans="1:20" ht="42" customHeight="1" thickBot="1">
      <c r="A20" s="18"/>
      <c r="E20" s="738" t="s">
        <v>406</v>
      </c>
      <c r="F20" s="739"/>
      <c r="G20" s="340" t="e">
        <f>ROUND(IF('Set Up Details'!$D$6="Sole trader",IF(G$19&gt;A34,(VLOOKUP(G$19,A34:C37,2)+(VLOOKUP(G$19,A34:C37,3)*(G$19-VLOOKUP(G$19,A34:C37,1)))),0),0),0)</f>
        <v>#VALUE!</v>
      </c>
      <c r="H20" s="341" t="e">
        <f>ROUND(IF('Set Up Details'!$D$6="Sole trader",IF(H$19&gt;A34,(VLOOKUP(H$19,A34:C37,2)+(VLOOKUP(H$19,A34:C37,3)*(H$19-VLOOKUP(H$19,A34:C37,1)))),0),0),0)</f>
        <v>#VALUE!</v>
      </c>
      <c r="K20" s="342" t="s">
        <v>426</v>
      </c>
      <c r="L20" s="343">
        <v>44652</v>
      </c>
      <c r="M20" s="344">
        <v>365</v>
      </c>
      <c r="P20" s="328"/>
      <c r="Q20" s="333"/>
      <c r="R20" s="319"/>
      <c r="S20" s="319"/>
      <c r="T20" s="319"/>
    </row>
    <row r="21" spans="1:20" ht="42.75" customHeight="1">
      <c r="A21" s="345"/>
      <c r="B21" s="346"/>
      <c r="C21" s="346"/>
      <c r="E21" s="740" t="s">
        <v>409</v>
      </c>
      <c r="F21" s="741"/>
      <c r="G21" s="347">
        <f>ROUND(IF('Set Up Details'!$D$6="Partnership of 2",IF(G$19&gt;2*A34,2*(VLOOKUP(G$19/2,A34:C37,2)+(VLOOKUP(G$19/2,A34:C37,3)*(G$19/2-VLOOKUP(G$19/2,A34:C37,1)))),0),0),0)</f>
        <v>0</v>
      </c>
      <c r="H21" s="347">
        <f>ROUND(IF('Set Up Details'!$D$6="Partnership of 2",IF(H$19&gt;2*A34,2*(VLOOKUP(H$19/2,A34:C37,2)+(VLOOKUP(H$19/2,A34:C37,3)*(H$19/2-VLOOKUP(H$19/2,A34:C37,1)))),0),0),0)</f>
        <v>0</v>
      </c>
      <c r="K21" s="342" t="s">
        <v>427</v>
      </c>
      <c r="L21" s="343">
        <f ca="1">TODAY()</f>
        <v>46130</v>
      </c>
    </row>
    <row r="22" spans="1:20" ht="42" customHeight="1">
      <c r="A22" s="18"/>
      <c r="E22" s="740" t="s">
        <v>412</v>
      </c>
      <c r="F22" s="741"/>
      <c r="G22" s="347">
        <f>ROUND(IF('Set Up Details'!$D$6="Partnership of 3",IF(G$19&gt;3*A34,3*(VLOOKUP(G$19/3,A34:C37,2)+(VLOOKUP(G$19/3,A34:C37,3)*(G$19/3-VLOOKUP(G$19/2,A34:C37,1)))),0),0),0)</f>
        <v>0</v>
      </c>
      <c r="H22" s="347">
        <f>ROUND(IF('Set Up Details'!$D$6="Partnership of 3",IF(H$19&gt;3*A34,3*(VLOOKUP(H$19/3,A34:C37,2)+(VLOOKUP(H$19/3,A34:C37,3)*(H$19/3-VLOOKUP(H$19/2,A34:C37,1)))),0),0),0)</f>
        <v>0</v>
      </c>
      <c r="L22" s="348"/>
    </row>
    <row r="23" spans="1:20" ht="45" customHeight="1" thickBot="1">
      <c r="E23" s="742" t="s">
        <v>416</v>
      </c>
      <c r="F23" s="743"/>
      <c r="G23" s="349">
        <f>ROUND(IF('Set Up Details'!$D$6="Company",IF(G19&gt;1,(G19*C42),0),0),0)</f>
        <v>0</v>
      </c>
      <c r="H23" s="349">
        <f>ROUND(IF('Set Up Details'!$D$6="Company",IF(H19&gt;1,(H19*C42),0),0),0)</f>
        <v>0</v>
      </c>
      <c r="K23" s="342" t="s">
        <v>428</v>
      </c>
      <c r="L23" s="350">
        <v>45108</v>
      </c>
      <c r="N23" s="752" t="s">
        <v>429</v>
      </c>
      <c r="O23" s="751"/>
    </row>
    <row r="24" spans="1:20" ht="31.5" customHeight="1" thickBot="1">
      <c r="A24" s="18"/>
      <c r="K24" s="342" t="s">
        <v>430</v>
      </c>
      <c r="L24" s="343">
        <f>L23+M24</f>
        <v>45108</v>
      </c>
      <c r="M24" s="344">
        <v>0</v>
      </c>
    </row>
    <row r="25" spans="1:20" ht="32.25" customHeight="1" thickBot="1">
      <c r="A25" s="352" t="s">
        <v>431</v>
      </c>
      <c r="B25" s="11">
        <v>10</v>
      </c>
      <c r="E25" s="744" t="s">
        <v>432</v>
      </c>
      <c r="F25" s="745"/>
      <c r="G25" s="353" t="e">
        <f>SUM(G20:G24)</f>
        <v>#VALUE!</v>
      </c>
      <c r="H25" s="354" t="e">
        <f>SUM(H20:H24)</f>
        <v>#VALUE!</v>
      </c>
      <c r="L25" s="348"/>
    </row>
    <row r="26" spans="1:20" ht="26.25" customHeight="1"/>
    <row r="27" spans="1:20" s="6" customFormat="1" ht="37.5" customHeight="1"/>
    <row r="28" spans="1:20" ht="42" customHeight="1">
      <c r="A28" s="514" t="s">
        <v>465</v>
      </c>
      <c r="B28" s="485">
        <v>46127</v>
      </c>
      <c r="C28" s="746" t="s">
        <v>433</v>
      </c>
      <c r="D28" s="746"/>
      <c r="E28" s="746"/>
      <c r="F28" s="746"/>
      <c r="G28" s="746"/>
    </row>
    <row r="29" spans="1:20" ht="18" customHeight="1"/>
    <row r="30" spans="1:20" ht="18" customHeight="1">
      <c r="A30" s="526" t="s">
        <v>434</v>
      </c>
      <c r="B30" s="526"/>
      <c r="C30" s="526"/>
      <c r="D30" s="526"/>
      <c r="E30" s="526"/>
      <c r="F30" s="526"/>
      <c r="G30" s="526"/>
    </row>
    <row r="31" spans="1:20" ht="18" customHeight="1" thickBot="1">
      <c r="A31" s="747" t="s">
        <v>435</v>
      </c>
      <c r="B31" s="748"/>
      <c r="C31" s="748"/>
      <c r="D31" s="748"/>
      <c r="E31" s="748"/>
      <c r="F31" s="748"/>
      <c r="G31" s="749"/>
      <c r="I31" s="355"/>
    </row>
    <row r="32" spans="1:20" ht="18" customHeight="1">
      <c r="A32" s="750"/>
      <c r="B32" s="751"/>
    </row>
    <row r="33" spans="1:11" ht="27" customHeight="1" thickBot="1">
      <c r="A33" s="735" t="s">
        <v>466</v>
      </c>
      <c r="B33" s="735"/>
      <c r="C33" s="735"/>
      <c r="E33" s="442" t="s">
        <v>436</v>
      </c>
      <c r="F33" s="495">
        <v>10</v>
      </c>
      <c r="G33" s="356" t="s">
        <v>315</v>
      </c>
    </row>
    <row r="34" spans="1:11" s="6" customFormat="1" ht="18" customHeight="1">
      <c r="A34" s="357">
        <v>18200</v>
      </c>
      <c r="B34" s="358">
        <v>0</v>
      </c>
      <c r="C34" s="359">
        <v>0.19</v>
      </c>
      <c r="H34" s="5"/>
    </row>
    <row r="35" spans="1:11" s="6" customFormat="1" ht="18" customHeight="1">
      <c r="A35" s="360">
        <v>45001</v>
      </c>
      <c r="B35" s="361">
        <v>5092</v>
      </c>
      <c r="C35" s="362">
        <v>0.32500000000000001</v>
      </c>
    </row>
    <row r="36" spans="1:11" s="6" customFormat="1" ht="18" customHeight="1">
      <c r="A36" s="360">
        <v>120001</v>
      </c>
      <c r="B36" s="361">
        <v>29467</v>
      </c>
      <c r="C36" s="362">
        <v>0.37</v>
      </c>
    </row>
    <row r="37" spans="1:11" s="6" customFormat="1" ht="18" customHeight="1" thickBot="1">
      <c r="A37" s="363">
        <v>180001</v>
      </c>
      <c r="B37" s="364">
        <v>51667</v>
      </c>
      <c r="C37" s="365">
        <v>0.45</v>
      </c>
    </row>
    <row r="38" spans="1:11" ht="18" customHeight="1"/>
    <row r="39" spans="1:11" ht="18" customHeight="1" thickBot="1">
      <c r="A39" s="666" t="s">
        <v>437</v>
      </c>
      <c r="B39" s="666"/>
      <c r="C39" s="666"/>
      <c r="D39" s="666"/>
      <c r="E39" s="666"/>
      <c r="F39" s="666"/>
      <c r="G39" s="666"/>
    </row>
    <row r="40" spans="1:11" ht="18" customHeight="1" thickBot="1">
      <c r="A40" s="727" t="s">
        <v>438</v>
      </c>
      <c r="B40" s="728"/>
      <c r="C40" s="728"/>
      <c r="D40" s="728"/>
      <c r="E40" s="728"/>
      <c r="F40" s="728"/>
      <c r="G40" s="729"/>
    </row>
    <row r="41" spans="1:11" ht="18" customHeight="1">
      <c r="A41" s="366"/>
    </row>
    <row r="42" spans="1:11" ht="18" customHeight="1">
      <c r="A42" s="666" t="s">
        <v>439</v>
      </c>
      <c r="B42" s="666"/>
      <c r="C42" s="517">
        <v>0.25</v>
      </c>
    </row>
    <row r="43" spans="1:11" ht="18" customHeight="1"/>
    <row r="44" spans="1:11" ht="18" customHeight="1"/>
    <row r="45" spans="1:11" ht="18" customHeight="1" thickBot="1">
      <c r="A45" s="666" t="s">
        <v>440</v>
      </c>
      <c r="B45" s="666"/>
      <c r="C45" s="666"/>
      <c r="D45" s="666"/>
      <c r="E45" s="666"/>
      <c r="F45" s="666"/>
      <c r="G45" s="666"/>
      <c r="H45" s="6"/>
      <c r="I45" s="6"/>
      <c r="J45" s="6"/>
      <c r="K45" s="6"/>
    </row>
    <row r="46" spans="1:11" ht="18" customHeight="1" thickBot="1">
      <c r="A46" s="730" t="s">
        <v>441</v>
      </c>
      <c r="B46" s="731"/>
      <c r="C46" s="732"/>
      <c r="D46" s="732"/>
      <c r="E46" s="732"/>
      <c r="F46" s="732"/>
      <c r="G46" s="733"/>
      <c r="H46" s="6"/>
      <c r="I46" s="6"/>
      <c r="J46" s="6"/>
      <c r="K46" s="6"/>
    </row>
    <row r="47" spans="1:11" ht="18" customHeight="1">
      <c r="A47" s="514" t="s">
        <v>465</v>
      </c>
      <c r="B47" s="485">
        <v>46127</v>
      </c>
      <c r="C47" s="734" t="s">
        <v>433</v>
      </c>
      <c r="D47" s="734"/>
      <c r="E47" s="734"/>
      <c r="F47" s="734"/>
      <c r="G47" s="734"/>
      <c r="K47" s="6"/>
    </row>
    <row r="48" spans="1:11" ht="18" customHeight="1">
      <c r="A48" s="16"/>
      <c r="B48" s="367"/>
      <c r="C48" s="19"/>
      <c r="D48" s="19"/>
      <c r="E48" s="19"/>
      <c r="F48" s="19"/>
      <c r="G48" s="19"/>
      <c r="H48" s="19"/>
      <c r="I48" s="19"/>
      <c r="J48" s="19"/>
      <c r="K48" s="6"/>
    </row>
    <row r="49" spans="1:11" ht="18" customHeight="1">
      <c r="A49" s="670" t="s">
        <v>456</v>
      </c>
      <c r="B49" s="670"/>
      <c r="C49" s="518">
        <v>3.5000000000000003E-2</v>
      </c>
      <c r="D49" s="6"/>
      <c r="E49" s="6"/>
      <c r="F49" s="6"/>
      <c r="G49" s="6"/>
      <c r="H49" s="351"/>
      <c r="I49" s="6"/>
      <c r="J49" s="6"/>
      <c r="K49" s="6"/>
    </row>
    <row r="50" spans="1:11" ht="12" customHeight="1">
      <c r="A50" s="6"/>
      <c r="B50" s="6"/>
      <c r="C50" s="6"/>
      <c r="D50" s="6"/>
      <c r="E50" s="6"/>
      <c r="G50" s="6"/>
      <c r="H50" s="6"/>
      <c r="I50" s="6"/>
      <c r="J50" s="6"/>
      <c r="K50" s="6"/>
    </row>
    <row r="51" spans="1:11" ht="33" customHeight="1">
      <c r="D51" s="6"/>
      <c r="E51" s="6"/>
      <c r="F51" s="6"/>
      <c r="G51" s="6"/>
      <c r="H51" s="6"/>
      <c r="I51" s="6"/>
      <c r="J51" s="6"/>
    </row>
    <row r="52" spans="1:11" ht="31.5" customHeight="1"/>
    <row r="57" spans="1:11" ht="88.5" customHeight="1">
      <c r="K57" s="368"/>
    </row>
  </sheetData>
  <mergeCells count="25">
    <mergeCell ref="N23:O23"/>
    <mergeCell ref="A4:C4"/>
    <mergeCell ref="B5:C5"/>
    <mergeCell ref="P7:T7"/>
    <mergeCell ref="B9:C9"/>
    <mergeCell ref="A13:C13"/>
    <mergeCell ref="E17:H17"/>
    <mergeCell ref="A33:C33"/>
    <mergeCell ref="E19:F19"/>
    <mergeCell ref="E20:F20"/>
    <mergeCell ref="E21:F21"/>
    <mergeCell ref="E22:F22"/>
    <mergeCell ref="E23:F23"/>
    <mergeCell ref="E25:F25"/>
    <mergeCell ref="C28:G28"/>
    <mergeCell ref="A30:G30"/>
    <mergeCell ref="A31:G31"/>
    <mergeCell ref="A32:B32"/>
    <mergeCell ref="A49:B49"/>
    <mergeCell ref="A39:G39"/>
    <mergeCell ref="A40:G40"/>
    <mergeCell ref="A42:B42"/>
    <mergeCell ref="A45:G45"/>
    <mergeCell ref="A46:G46"/>
    <mergeCell ref="C47:G47"/>
  </mergeCells>
  <hyperlinks>
    <hyperlink ref="A46" r:id="rId1" xr:uid="{4FC55036-52A1-4EE6-8809-1987DBABE7F4}"/>
    <hyperlink ref="A31" r:id="rId2" xr:uid="{3CC3DB1A-7F8C-4C85-8334-F9D7ACF4CFE8}"/>
  </hyperlinks>
  <pageMargins left="0.23622047244094491" right="0.23622047244094491" top="0.74803149606299213" bottom="0.74803149606299213" header="0.31496062992125984" footer="0.31496062992125984"/>
  <pageSetup orientation="landscape" horizontalDpi="1200" verticalDpi="1200"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B7CD-0175-4FB7-A6B0-4C78E72A97B0}">
  <sheetPr codeName="Sheet23"/>
  <dimension ref="A1:B13"/>
  <sheetViews>
    <sheetView zoomScale="160" zoomScaleNormal="160" workbookViewId="0">
      <selection activeCell="F19" sqref="F19"/>
    </sheetView>
  </sheetViews>
  <sheetFormatPr defaultRowHeight="12.75"/>
  <cols>
    <col min="1" max="2" width="10.7109375" style="397" bestFit="1" customWidth="1"/>
    <col min="3" max="16384" width="9.140625" style="397"/>
  </cols>
  <sheetData>
    <row r="1" spans="1:2">
      <c r="A1" s="396" t="s">
        <v>374</v>
      </c>
      <c r="B1" s="396" t="s">
        <v>405</v>
      </c>
    </row>
    <row r="2" spans="1:2">
      <c r="A2" s="398">
        <v>44562</v>
      </c>
      <c r="B2" s="398">
        <v>44593</v>
      </c>
    </row>
    <row r="3" spans="1:2">
      <c r="A3" s="398">
        <v>44593</v>
      </c>
      <c r="B3" s="398">
        <v>44621</v>
      </c>
    </row>
    <row r="4" spans="1:2">
      <c r="A4" s="398">
        <v>44621</v>
      </c>
      <c r="B4" s="398">
        <v>44652</v>
      </c>
    </row>
    <row r="5" spans="1:2">
      <c r="A5" s="398">
        <v>44652</v>
      </c>
      <c r="B5" s="398">
        <v>44682</v>
      </c>
    </row>
    <row r="6" spans="1:2">
      <c r="A6" s="398">
        <v>44682</v>
      </c>
      <c r="B6" s="398">
        <v>44713</v>
      </c>
    </row>
    <row r="7" spans="1:2">
      <c r="A7" s="398">
        <v>44713</v>
      </c>
      <c r="B7" s="398">
        <v>44743</v>
      </c>
    </row>
    <row r="8" spans="1:2">
      <c r="A8" s="398">
        <v>44743</v>
      </c>
      <c r="B8" s="398">
        <v>44774</v>
      </c>
    </row>
    <row r="9" spans="1:2">
      <c r="A9" s="398">
        <v>44774</v>
      </c>
      <c r="B9" s="398">
        <v>44805</v>
      </c>
    </row>
    <row r="10" spans="1:2">
      <c r="A10" s="398">
        <v>44805</v>
      </c>
      <c r="B10" s="398">
        <v>44835</v>
      </c>
    </row>
    <row r="11" spans="1:2">
      <c r="A11" s="398">
        <v>44835</v>
      </c>
      <c r="B11" s="398">
        <v>44866</v>
      </c>
    </row>
    <row r="12" spans="1:2">
      <c r="A12" s="398">
        <v>44866</v>
      </c>
      <c r="B12" s="398">
        <v>44896</v>
      </c>
    </row>
    <row r="13" spans="1:2">
      <c r="A13" s="398">
        <v>44896</v>
      </c>
      <c r="B13" s="398">
        <v>44562</v>
      </c>
    </row>
  </sheetData>
  <pageMargins left="0.7" right="0.7" top="0.75" bottom="0.75" header="0.3" footer="0.3"/>
  <pageSetup orientation="portrait" horizontalDpi="1200" verticalDpi="120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D786-61B4-4C6C-84C9-7BEDF99CDBC8}">
  <sheetPr codeName="Sheet22">
    <pageSetUpPr fitToPage="1"/>
  </sheetPr>
  <dimension ref="A1:AC49"/>
  <sheetViews>
    <sheetView zoomScale="70" zoomScaleNormal="70" workbookViewId="0">
      <selection activeCell="C7" sqref="C7"/>
    </sheetView>
  </sheetViews>
  <sheetFormatPr defaultColWidth="9.28515625" defaultRowHeight="12.75"/>
  <cols>
    <col min="1" max="1" width="33.28515625" style="369" customWidth="1"/>
    <col min="2" max="2" width="14.5703125" style="369" bestFit="1" customWidth="1"/>
    <col min="3" max="15" width="10.7109375" style="369" customWidth="1"/>
    <col min="16" max="16" width="9.28515625" style="369"/>
    <col min="17" max="17" width="10.5703125" style="369" customWidth="1"/>
    <col min="18" max="29" width="8.7109375" style="369" customWidth="1"/>
    <col min="30" max="16384" width="9.28515625" style="369"/>
  </cols>
  <sheetData>
    <row r="1" spans="1:29" ht="75.75" customHeight="1">
      <c r="A1" s="761" t="s">
        <v>442</v>
      </c>
      <c r="B1" s="761"/>
      <c r="C1" s="761"/>
      <c r="D1" s="761"/>
      <c r="E1" s="761"/>
      <c r="F1" s="761"/>
      <c r="G1" s="761"/>
      <c r="H1" s="761"/>
      <c r="I1" s="761"/>
      <c r="J1" s="761"/>
      <c r="K1" s="761"/>
      <c r="L1" s="761"/>
      <c r="M1" s="761"/>
      <c r="N1" s="761"/>
      <c r="O1" s="761"/>
    </row>
    <row r="2" spans="1:29" ht="22.15" customHeight="1" thickBot="1">
      <c r="A2" s="370"/>
      <c r="B2" s="370"/>
      <c r="C2" s="370"/>
      <c r="D2" s="370"/>
      <c r="E2" s="370"/>
      <c r="F2" s="370"/>
      <c r="G2" s="370"/>
      <c r="H2" s="370"/>
      <c r="I2" s="370"/>
      <c r="J2" s="370"/>
      <c r="K2" s="370"/>
      <c r="L2" s="370"/>
      <c r="M2" s="370"/>
      <c r="N2" s="370"/>
      <c r="O2" s="370"/>
    </row>
    <row r="3" spans="1:29" ht="24" thickBot="1">
      <c r="A3" s="762" t="s">
        <v>443</v>
      </c>
      <c r="B3" s="763"/>
      <c r="C3" s="763"/>
      <c r="D3" s="763"/>
      <c r="E3" s="763"/>
      <c r="F3" s="763"/>
      <c r="G3" s="763"/>
      <c r="H3" s="763"/>
      <c r="I3" s="763"/>
      <c r="J3" s="763"/>
      <c r="K3" s="763"/>
      <c r="L3" s="763"/>
      <c r="M3" s="763"/>
      <c r="N3" s="763"/>
      <c r="O3" s="764"/>
    </row>
    <row r="4" spans="1:29" ht="18.75" thickBot="1">
      <c r="A4" s="371"/>
      <c r="B4" s="372"/>
      <c r="C4" s="371"/>
      <c r="D4" s="373"/>
      <c r="E4" s="373"/>
      <c r="F4" s="371"/>
      <c r="G4" s="373"/>
      <c r="H4" s="373"/>
      <c r="I4" s="373"/>
      <c r="J4" s="373"/>
      <c r="K4" s="373"/>
      <c r="L4" s="373"/>
      <c r="M4" s="373"/>
      <c r="N4" s="373"/>
      <c r="O4" s="373"/>
      <c r="Q4" s="374" t="s">
        <v>444</v>
      </c>
    </row>
    <row r="5" spans="1:29" ht="16.5" thickBot="1">
      <c r="A5" s="375"/>
      <c r="B5" s="375"/>
      <c r="C5" s="376" t="str">
        <f>'Tables and Calculations'!B2</f>
        <v>Jan</v>
      </c>
      <c r="D5" s="376" t="str">
        <f>'Tables and Calculations'!C2</f>
        <v>Feb</v>
      </c>
      <c r="E5" s="376" t="str">
        <f>'Tables and Calculations'!D2</f>
        <v>Mar</v>
      </c>
      <c r="F5" s="376" t="str">
        <f>'Tables and Calculations'!E2</f>
        <v>Apr</v>
      </c>
      <c r="G5" s="376" t="str">
        <f>'Tables and Calculations'!F2</f>
        <v>May</v>
      </c>
      <c r="H5" s="376" t="str">
        <f>'Tables and Calculations'!G2</f>
        <v>Jun</v>
      </c>
      <c r="I5" s="376" t="str">
        <f>'Tables and Calculations'!H2</f>
        <v>Jul</v>
      </c>
      <c r="J5" s="376" t="str">
        <f>'Tables and Calculations'!I2</f>
        <v>Aug</v>
      </c>
      <c r="K5" s="376" t="str">
        <f>'Tables and Calculations'!J2</f>
        <v>Sep</v>
      </c>
      <c r="L5" s="376" t="str">
        <f>'Tables and Calculations'!K2</f>
        <v>Oct</v>
      </c>
      <c r="M5" s="376" t="str">
        <f>'Tables and Calculations'!L2</f>
        <v>Nov</v>
      </c>
      <c r="N5" s="376" t="str">
        <f>'Tables and Calculations'!M2</f>
        <v>Dec</v>
      </c>
      <c r="O5" s="377" t="s">
        <v>60</v>
      </c>
      <c r="Q5" s="378" t="str">
        <f>C5</f>
        <v>Jan</v>
      </c>
      <c r="R5" s="378" t="str">
        <f t="shared" ref="R5:AB5" si="0">D5</f>
        <v>Feb</v>
      </c>
      <c r="S5" s="378" t="str">
        <f t="shared" si="0"/>
        <v>Mar</v>
      </c>
      <c r="T5" s="378" t="str">
        <f t="shared" si="0"/>
        <v>Apr</v>
      </c>
      <c r="U5" s="378" t="str">
        <f t="shared" si="0"/>
        <v>May</v>
      </c>
      <c r="V5" s="378" t="str">
        <f t="shared" si="0"/>
        <v>Jun</v>
      </c>
      <c r="W5" s="378" t="str">
        <f t="shared" si="0"/>
        <v>Jul</v>
      </c>
      <c r="X5" s="378" t="str">
        <f t="shared" si="0"/>
        <v>Aug</v>
      </c>
      <c r="Y5" s="378" t="str">
        <f t="shared" si="0"/>
        <v>Sep</v>
      </c>
      <c r="Z5" s="378" t="str">
        <f t="shared" si="0"/>
        <v>Oct</v>
      </c>
      <c r="AA5" s="378" t="str">
        <f t="shared" si="0"/>
        <v>Nov</v>
      </c>
      <c r="AB5" s="378" t="str">
        <f t="shared" si="0"/>
        <v>Dec</v>
      </c>
      <c r="AC5" s="377" t="s">
        <v>60</v>
      </c>
    </row>
    <row r="6" spans="1:29" ht="18.75" thickBot="1">
      <c r="A6" s="379" t="s">
        <v>233</v>
      </c>
      <c r="B6" s="380" t="s">
        <v>445</v>
      </c>
      <c r="C6" s="381" t="s">
        <v>231</v>
      </c>
      <c r="D6" s="381"/>
      <c r="E6" s="381"/>
      <c r="F6" s="381"/>
      <c r="G6" s="381"/>
      <c r="H6" s="381"/>
      <c r="I6" s="381"/>
      <c r="J6" s="381"/>
      <c r="K6" s="381"/>
      <c r="L6" s="381"/>
      <c r="M6" s="381"/>
      <c r="N6" s="381"/>
      <c r="O6" s="382"/>
      <c r="Q6" s="381"/>
      <c r="R6" s="381"/>
      <c r="S6" s="381"/>
      <c r="T6" s="381"/>
      <c r="U6" s="381"/>
      <c r="V6" s="381"/>
      <c r="W6" s="381"/>
      <c r="X6" s="381"/>
      <c r="Y6" s="381"/>
      <c r="Z6" s="381"/>
      <c r="AA6" s="381"/>
      <c r="AB6" s="381"/>
      <c r="AC6" s="382"/>
    </row>
    <row r="7" spans="1:29" ht="15">
      <c r="A7" s="383" t="str">
        <f>'Sales Details'!A6</f>
        <v>Test-category-1</v>
      </c>
      <c r="B7" s="384"/>
      <c r="C7" s="385" t="e">
        <f>'Sales Forecast Year 1'!D25*'Sales Details'!F6</f>
        <v>#VALUE!</v>
      </c>
      <c r="D7" s="385" t="e">
        <f>'Sales Forecast Year 1'!D25*'Sales Details'!G6+'Sales Forecast Year 1'!E25*'Sales Details'!F6</f>
        <v>#VALUE!</v>
      </c>
      <c r="E7" s="385" t="e">
        <f>'Sales Forecast Year 1'!D25*'Sales Details'!H6+'Sales Forecast Year 1'!E25*'Sales Details'!G6+'Sales Forecast Year 1'!F25*'Sales Details'!F6</f>
        <v>#VALUE!</v>
      </c>
      <c r="F7" s="385" t="e">
        <f>'Sales Forecast Year 1'!D25*'Sales Details'!I6+'Sales Forecast Year 1'!E25*'Sales Details'!H6+'Sales Forecast Year 1'!F25*'Sales Details'!G6+'Sales Forecast Year 1'!G25*'Sales Details'!F6</f>
        <v>#VALUE!</v>
      </c>
      <c r="G7" s="385" t="e">
        <f>'Sales Forecast Year 1'!E25*'Sales Details'!$I6+'Sales Forecast Year 1'!F25*'Sales Details'!$H6+'Sales Forecast Year 1'!G25*'Sales Details'!$G6+'Sales Forecast Year 1'!H25*'Sales Details'!F6</f>
        <v>#VALUE!</v>
      </c>
      <c r="H7" s="385" t="e">
        <f>'Sales Forecast Year 1'!F25*'Sales Details'!$I6+'Sales Forecast Year 1'!G25*'Sales Details'!$H6+'Sales Forecast Year 1'!H25*'Sales Details'!$G6+'Sales Forecast Year 1'!I25*'Sales Details'!F6</f>
        <v>#VALUE!</v>
      </c>
      <c r="I7" s="385" t="e">
        <f>'Sales Forecast Year 1'!G25*'Sales Details'!$I6+'Sales Forecast Year 1'!H25*'Sales Details'!$H6+'Sales Forecast Year 1'!I25*'Sales Details'!$G6+'Sales Forecast Year 1'!J25*'Sales Details'!F6</f>
        <v>#VALUE!</v>
      </c>
      <c r="J7" s="385" t="e">
        <f>'Sales Forecast Year 1'!H25*'Sales Details'!$I6+'Sales Forecast Year 1'!I25*'Sales Details'!$H6+'Sales Forecast Year 1'!J25*'Sales Details'!$G6+'Sales Forecast Year 1'!K25*'Sales Details'!F6</f>
        <v>#VALUE!</v>
      </c>
      <c r="K7" s="385" t="e">
        <f>'Sales Forecast Year 1'!I25*'Sales Details'!$I6+'Sales Forecast Year 1'!J25*'Sales Details'!$H6+'Sales Forecast Year 1'!K25*'Sales Details'!$G6+'Sales Forecast Year 1'!L25*'Sales Details'!F6</f>
        <v>#VALUE!</v>
      </c>
      <c r="L7" s="385" t="e">
        <f>'Sales Forecast Year 1'!J25*'Sales Details'!$I6+'Sales Forecast Year 1'!K25*'Sales Details'!$H6+'Sales Forecast Year 1'!L25*'Sales Details'!$G6+'Sales Forecast Year 1'!M25*'Sales Details'!F6</f>
        <v>#VALUE!</v>
      </c>
      <c r="M7" s="385" t="e">
        <f>'Sales Forecast Year 1'!K25*'Sales Details'!$I6+'Sales Forecast Year 1'!L25*'Sales Details'!$H6+'Sales Forecast Year 1'!M25*'Sales Details'!$G6+'Sales Forecast Year 1'!N25*'Sales Details'!F6</f>
        <v>#VALUE!</v>
      </c>
      <c r="N7" s="385" t="e">
        <f>'Sales Forecast Year 2'!D25*'Sales Details'!$I6+'Sales Forecast Year 1'!M25*'Sales Details'!$H6+'Sales Forecast Year 1'!N25*'Sales Details'!$G6+'Sales Forecast Year 1'!O25*'Sales Details'!F6</f>
        <v>#VALUE!</v>
      </c>
      <c r="O7" s="386" t="e">
        <f>ROUND(SUM(C7:N7),0)</f>
        <v>#VALUE!</v>
      </c>
      <c r="Q7" s="387">
        <f>ROUND(IF('Sales Forecast Year 1'!$B25="Yes",C7*'Tables and Calculations'!$C$6,0),0)</f>
        <v>0</v>
      </c>
      <c r="R7" s="387">
        <f>ROUND(IF('Sales Forecast Year 1'!$B25="Yes",D7*'Tables and Calculations'!$C$6,0),0)</f>
        <v>0</v>
      </c>
      <c r="S7" s="387">
        <f>ROUND(IF('Sales Forecast Year 1'!$B25="Yes",E7*'Tables and Calculations'!$C$6,0),0)</f>
        <v>0</v>
      </c>
      <c r="T7" s="387">
        <f>ROUND(IF('Sales Forecast Year 1'!$B25="Yes",F7*'Tables and Calculations'!$C$6,0),0)</f>
        <v>0</v>
      </c>
      <c r="U7" s="387">
        <f>ROUND(IF('Sales Forecast Year 1'!$B25="Yes",G7*'Tables and Calculations'!$C$6,0),0)</f>
        <v>0</v>
      </c>
      <c r="V7" s="387">
        <f>ROUND(IF('Sales Forecast Year 1'!$B25="Yes",H7*'Tables and Calculations'!$C$6,0),0)</f>
        <v>0</v>
      </c>
      <c r="W7" s="387">
        <f>ROUND(IF('Sales Forecast Year 1'!$B25="Yes",I7*'Tables and Calculations'!$C$6,0),0)</f>
        <v>0</v>
      </c>
      <c r="X7" s="387">
        <f>ROUND(IF('Sales Forecast Year 1'!$B25="Yes",J7*'Tables and Calculations'!$C$6,0),0)</f>
        <v>0</v>
      </c>
      <c r="Y7" s="387">
        <f>ROUND(IF('Sales Forecast Year 1'!$B25="Yes",K7*'Tables and Calculations'!$C$6,0),0)</f>
        <v>0</v>
      </c>
      <c r="Z7" s="387">
        <f>ROUND(IF('Sales Forecast Year 1'!$B25="Yes",L7*'Tables and Calculations'!$C$6,0),0)</f>
        <v>0</v>
      </c>
      <c r="AA7" s="387">
        <f>ROUND(IF('Sales Forecast Year 1'!$B25="Yes",M7*'Tables and Calculations'!$C$6,0),0)</f>
        <v>0</v>
      </c>
      <c r="AB7" s="387">
        <f>ROUND(IF('Sales Forecast Year 1'!$B25="Yes",N7*'Tables and Calculations'!$C$6,0),0)</f>
        <v>0</v>
      </c>
      <c r="AC7" s="388">
        <f>ROUND(SUM(Q7:AB7),0)</f>
        <v>0</v>
      </c>
    </row>
    <row r="8" spans="1:29" ht="15">
      <c r="A8" s="383" t="str">
        <f>'Sales Details'!A7</f>
        <v>Test-category-2</v>
      </c>
      <c r="B8" s="384"/>
      <c r="C8" s="385">
        <f>'Sales Forecast Year 1'!D26*'Sales Details'!F7</f>
        <v>0</v>
      </c>
      <c r="D8" s="385">
        <f>'Sales Forecast Year 1'!D26*'Sales Details'!G7+'Sales Forecast Year 1'!E26*'Sales Details'!F7</f>
        <v>0</v>
      </c>
      <c r="E8" s="385">
        <f>'Sales Forecast Year 1'!D26*'Sales Details'!H7+'Sales Forecast Year 1'!E26*'Sales Details'!G7+'Sales Forecast Year 1'!F26*'Sales Details'!F7</f>
        <v>0</v>
      </c>
      <c r="F8" s="385">
        <f>'Sales Forecast Year 1'!D26*'Sales Details'!I7+'Sales Forecast Year 1'!E26*'Sales Details'!H7+'Sales Forecast Year 1'!F26*'Sales Details'!G7+'Sales Forecast Year 1'!G26*'Sales Details'!F7</f>
        <v>0</v>
      </c>
      <c r="G8" s="385">
        <f>'Sales Forecast Year 1'!E26*'Sales Details'!$I7+'Sales Forecast Year 1'!F26*'Sales Details'!$H7+'Sales Forecast Year 1'!G26*'Sales Details'!$G7+'Sales Forecast Year 1'!H26*'Sales Details'!F7</f>
        <v>0</v>
      </c>
      <c r="H8" s="385">
        <f>'Sales Forecast Year 1'!F26*'Sales Details'!$I7+'Sales Forecast Year 1'!G26*'Sales Details'!$H7+'Sales Forecast Year 1'!H26*'Sales Details'!$G7+'Sales Forecast Year 1'!I26*'Sales Details'!F7</f>
        <v>0</v>
      </c>
      <c r="I8" s="385">
        <f>'Sales Forecast Year 1'!G26*'Sales Details'!$I7+'Sales Forecast Year 1'!H26*'Sales Details'!$H7+'Sales Forecast Year 1'!I26*'Sales Details'!$G7+'Sales Forecast Year 1'!J26*'Sales Details'!F7</f>
        <v>0</v>
      </c>
      <c r="J8" s="385">
        <f>'Sales Forecast Year 1'!H26*'Sales Details'!$I7+'Sales Forecast Year 1'!I26*'Sales Details'!$H7+'Sales Forecast Year 1'!J26*'Sales Details'!$G7+'Sales Forecast Year 1'!K26*'Sales Details'!F7</f>
        <v>0</v>
      </c>
      <c r="K8" s="385">
        <f>'Sales Forecast Year 1'!I26*'Sales Details'!$I7+'Sales Forecast Year 1'!J26*'Sales Details'!$H7+'Sales Forecast Year 1'!K26*'Sales Details'!$G7+'Sales Forecast Year 1'!L26*'Sales Details'!F7</f>
        <v>0</v>
      </c>
      <c r="L8" s="385">
        <f>'Sales Forecast Year 1'!J26*'Sales Details'!$I7+'Sales Forecast Year 1'!K26*'Sales Details'!$H7+'Sales Forecast Year 1'!L26*'Sales Details'!$G7+'Sales Forecast Year 1'!M26*'Sales Details'!F7</f>
        <v>0</v>
      </c>
      <c r="M8" s="385">
        <f>'Sales Forecast Year 1'!K26*'Sales Details'!$I7+'Sales Forecast Year 1'!L26*'Sales Details'!$H7+'Sales Forecast Year 1'!M26*'Sales Details'!$G7+'Sales Forecast Year 1'!N26*'Sales Details'!F7</f>
        <v>0</v>
      </c>
      <c r="N8" s="385">
        <f>'Sales Forecast Year 1'!L26*'Sales Details'!$I7+'Sales Forecast Year 1'!M26*'Sales Details'!$H7+'Sales Forecast Year 1'!N26*'Sales Details'!$G7+'Sales Forecast Year 1'!O26*'Sales Details'!F7</f>
        <v>0</v>
      </c>
      <c r="O8" s="386">
        <f t="shared" ref="O8:O21" si="1">ROUND(SUM(C8:N8),0)</f>
        <v>0</v>
      </c>
      <c r="Q8" s="387">
        <f>ROUND(IF('Sales Forecast Year 1'!$B26="Yes",C8*'Tables and Calculations'!$C$6,0),0)</f>
        <v>0</v>
      </c>
      <c r="R8" s="387">
        <f>ROUND(IF('Sales Forecast Year 1'!$B26="Yes",D8*'Tables and Calculations'!$C$6,0),0)</f>
        <v>0</v>
      </c>
      <c r="S8" s="387">
        <f>ROUND(IF('Sales Forecast Year 1'!$B26="Yes",E8*'Tables and Calculations'!$C$6,0),0)</f>
        <v>0</v>
      </c>
      <c r="T8" s="387">
        <f>ROUND(IF('Sales Forecast Year 1'!$B26="Yes",F8*'Tables and Calculations'!$C$6,0),0)</f>
        <v>0</v>
      </c>
      <c r="U8" s="387">
        <f>ROUND(IF('Sales Forecast Year 1'!$B26="Yes",G8*'Tables and Calculations'!$C$6,0),0)</f>
        <v>0</v>
      </c>
      <c r="V8" s="387">
        <f>ROUND(IF('Sales Forecast Year 1'!$B26="Yes",H8*'Tables and Calculations'!$C$6,0),0)</f>
        <v>0</v>
      </c>
      <c r="W8" s="387">
        <f>ROUND(IF('Sales Forecast Year 1'!$B26="Yes",I8*'Tables and Calculations'!$C$6,0),0)</f>
        <v>0</v>
      </c>
      <c r="X8" s="387">
        <f>ROUND(IF('Sales Forecast Year 1'!$B26="Yes",J8*'Tables and Calculations'!$C$6,0),0)</f>
        <v>0</v>
      </c>
      <c r="Y8" s="387">
        <f>ROUND(IF('Sales Forecast Year 1'!$B26="Yes",K8*'Tables and Calculations'!$C$6,0),0)</f>
        <v>0</v>
      </c>
      <c r="Z8" s="387">
        <f>ROUND(IF('Sales Forecast Year 1'!$B26="Yes",L8*'Tables and Calculations'!$C$6,0),0)</f>
        <v>0</v>
      </c>
      <c r="AA8" s="387">
        <f>ROUND(IF('Sales Forecast Year 1'!$B26="Yes",M8*'Tables and Calculations'!$C$6,0),0)</f>
        <v>0</v>
      </c>
      <c r="AB8" s="387">
        <f>ROUND(IF('Sales Forecast Year 1'!$B26="Yes",N8*'Tables and Calculations'!$C$6,0),0)</f>
        <v>0</v>
      </c>
      <c r="AC8" s="388">
        <f t="shared" ref="AC8:AC21" si="2">ROUND(SUM(Q8:AB8),0)</f>
        <v>0</v>
      </c>
    </row>
    <row r="9" spans="1:29" ht="15">
      <c r="A9" s="383" t="str">
        <f>'Sales Details'!A8</f>
        <v>Test-category-3</v>
      </c>
      <c r="B9" s="384"/>
      <c r="C9" s="385">
        <f>'Sales Forecast Year 1'!D27*'Sales Details'!F8</f>
        <v>0</v>
      </c>
      <c r="D9" s="385">
        <f>'Sales Forecast Year 1'!D27*'Sales Details'!G8+'Sales Forecast Year 1'!E27*'Sales Details'!F8</f>
        <v>0</v>
      </c>
      <c r="E9" s="385">
        <f>'Sales Forecast Year 1'!D27*'Sales Details'!H8+'Sales Forecast Year 1'!E27*'Sales Details'!G8+'Sales Forecast Year 1'!F27*'Sales Details'!F8</f>
        <v>0</v>
      </c>
      <c r="F9" s="385">
        <f>'Sales Forecast Year 1'!D27*'Sales Details'!I8+'Sales Forecast Year 1'!E27*'Sales Details'!H8+'Sales Forecast Year 1'!F27*'Sales Details'!G8+'Sales Forecast Year 1'!G27*'Sales Details'!F8</f>
        <v>0</v>
      </c>
      <c r="G9" s="385">
        <f>'Sales Forecast Year 1'!E27*'Sales Details'!$I8+'Sales Forecast Year 1'!F27*'Sales Details'!$H8+'Sales Forecast Year 1'!G27*'Sales Details'!$G8+'Sales Forecast Year 1'!H27*'Sales Details'!F8</f>
        <v>0</v>
      </c>
      <c r="H9" s="385">
        <f>'Sales Forecast Year 1'!F27*'Sales Details'!$I8+'Sales Forecast Year 1'!G27*'Sales Details'!$H8+'Sales Forecast Year 1'!H27*'Sales Details'!$G8+'Sales Forecast Year 1'!I27*'Sales Details'!F8</f>
        <v>0</v>
      </c>
      <c r="I9" s="385">
        <f>'Sales Forecast Year 1'!G27*'Sales Details'!$I8+'Sales Forecast Year 1'!H27*'Sales Details'!$H8+'Sales Forecast Year 1'!I27*'Sales Details'!$G8+'Sales Forecast Year 1'!J27*'Sales Details'!F8</f>
        <v>0</v>
      </c>
      <c r="J9" s="385">
        <f>'Sales Forecast Year 1'!H27*'Sales Details'!$I8+'Sales Forecast Year 1'!I27*'Sales Details'!$H8+'Sales Forecast Year 1'!J27*'Sales Details'!$G8+'Sales Forecast Year 1'!K27*'Sales Details'!F8</f>
        <v>0</v>
      </c>
      <c r="K9" s="385">
        <f>'Sales Forecast Year 1'!I27*'Sales Details'!$I8+'Sales Forecast Year 1'!J27*'Sales Details'!$H8+'Sales Forecast Year 1'!K27*'Sales Details'!$G8+'Sales Forecast Year 1'!L27*'Sales Details'!F8</f>
        <v>0</v>
      </c>
      <c r="L9" s="385">
        <f>'Sales Forecast Year 1'!J27*'Sales Details'!$I8+'Sales Forecast Year 1'!K27*'Sales Details'!$H8+'Sales Forecast Year 1'!L27*'Sales Details'!$G8+'Sales Forecast Year 1'!M27*'Sales Details'!F8</f>
        <v>0</v>
      </c>
      <c r="M9" s="385">
        <f>'Sales Forecast Year 1'!K27*'Sales Details'!$I8+'Sales Forecast Year 1'!L27*'Sales Details'!$H8+'Sales Forecast Year 1'!M27*'Sales Details'!$G8+'Sales Forecast Year 1'!N27*'Sales Details'!F8</f>
        <v>0</v>
      </c>
      <c r="N9" s="385">
        <f>'Sales Forecast Year 1'!L27*'Sales Details'!$I8+'Sales Forecast Year 1'!M27*'Sales Details'!$H8+'Sales Forecast Year 1'!N27*'Sales Details'!$G8+'Sales Forecast Year 1'!O27*'Sales Details'!F8</f>
        <v>0</v>
      </c>
      <c r="O9" s="386">
        <f t="shared" si="1"/>
        <v>0</v>
      </c>
      <c r="Q9" s="387">
        <f>ROUND(IF('Sales Forecast Year 1'!$B27="Yes",C9*'Tables and Calculations'!$C$6,0),0)</f>
        <v>0</v>
      </c>
      <c r="R9" s="387">
        <f>ROUND(IF('Sales Forecast Year 1'!$B27="Yes",D9*'Tables and Calculations'!$C$6,0),0)</f>
        <v>0</v>
      </c>
      <c r="S9" s="387">
        <f>ROUND(IF('Sales Forecast Year 1'!$B27="Yes",E9*'Tables and Calculations'!$C$6,0),0)</f>
        <v>0</v>
      </c>
      <c r="T9" s="387">
        <f>ROUND(IF('Sales Forecast Year 1'!$B27="Yes",F9*'Tables and Calculations'!$C$6,0),0)</f>
        <v>0</v>
      </c>
      <c r="U9" s="387">
        <f>ROUND(IF('Sales Forecast Year 1'!$B27="Yes",G9*'Tables and Calculations'!$C$6,0),0)</f>
        <v>0</v>
      </c>
      <c r="V9" s="387">
        <f>ROUND(IF('Sales Forecast Year 1'!$B27="Yes",H9*'Tables and Calculations'!$C$6,0),0)</f>
        <v>0</v>
      </c>
      <c r="W9" s="387">
        <f>ROUND(IF('Sales Forecast Year 1'!$B27="Yes",I9*'Tables and Calculations'!$C$6,0),0)</f>
        <v>0</v>
      </c>
      <c r="X9" s="387">
        <f>ROUND(IF('Sales Forecast Year 1'!$B27="Yes",J9*'Tables and Calculations'!$C$6,0),0)</f>
        <v>0</v>
      </c>
      <c r="Y9" s="387">
        <f>ROUND(IF('Sales Forecast Year 1'!$B27="Yes",K9*'Tables and Calculations'!$C$6,0),0)</f>
        <v>0</v>
      </c>
      <c r="Z9" s="387">
        <f>ROUND(IF('Sales Forecast Year 1'!$B27="Yes",L9*'Tables and Calculations'!$C$6,0),0)</f>
        <v>0</v>
      </c>
      <c r="AA9" s="387">
        <f>ROUND(IF('Sales Forecast Year 1'!$B27="Yes",M9*'Tables and Calculations'!$C$6,0),0)</f>
        <v>0</v>
      </c>
      <c r="AB9" s="387">
        <f>ROUND(IF('Sales Forecast Year 1'!$B27="Yes",N9*'Tables and Calculations'!$C$6,0),0)</f>
        <v>0</v>
      </c>
      <c r="AC9" s="388">
        <f t="shared" si="2"/>
        <v>0</v>
      </c>
    </row>
    <row r="10" spans="1:29" ht="15">
      <c r="A10" s="383">
        <f>'Sales Details'!A9</f>
        <v>0</v>
      </c>
      <c r="B10" s="384"/>
      <c r="C10" s="385">
        <f>'Sales Forecast Year 1'!D28*'Sales Details'!F9</f>
        <v>0</v>
      </c>
      <c r="D10" s="385">
        <f>'Sales Forecast Year 1'!D28*'Sales Details'!G9+'Sales Forecast Year 1'!E28*'Sales Details'!F9</f>
        <v>0</v>
      </c>
      <c r="E10" s="385">
        <f>'Sales Forecast Year 1'!D28*'Sales Details'!H9+'Sales Forecast Year 1'!E28*'Sales Details'!G9+'Sales Forecast Year 1'!F28*'Sales Details'!F9</f>
        <v>0</v>
      </c>
      <c r="F10" s="385">
        <f>'Sales Forecast Year 1'!D28*'Sales Details'!I9+'Sales Forecast Year 1'!E28*'Sales Details'!H9+'Sales Forecast Year 1'!F28*'Sales Details'!G9+'Sales Forecast Year 1'!G28*'Sales Details'!F9</f>
        <v>0</v>
      </c>
      <c r="G10" s="385">
        <f>'Sales Forecast Year 1'!E28*'Sales Details'!$I9+'Sales Forecast Year 1'!F28*'Sales Details'!$H9+'Sales Forecast Year 1'!G28*'Sales Details'!$G9+'Sales Forecast Year 1'!H28*'Sales Details'!F9</f>
        <v>0</v>
      </c>
      <c r="H10" s="385">
        <f>'Sales Forecast Year 1'!F28*'Sales Details'!$I9+'Sales Forecast Year 1'!G28*'Sales Details'!$H9+'Sales Forecast Year 1'!H28*'Sales Details'!$G9+'Sales Forecast Year 1'!I28*'Sales Details'!F9</f>
        <v>0</v>
      </c>
      <c r="I10" s="385">
        <f>'Sales Forecast Year 1'!G28*'Sales Details'!$I9+'Sales Forecast Year 1'!H28*'Sales Details'!$H9+'Sales Forecast Year 1'!I28*'Sales Details'!$G9+'Sales Forecast Year 1'!J28*'Sales Details'!F9</f>
        <v>0</v>
      </c>
      <c r="J10" s="385">
        <f>'Sales Forecast Year 1'!H28*'Sales Details'!$I9+'Sales Forecast Year 1'!I28*'Sales Details'!$H9+'Sales Forecast Year 1'!J28*'Sales Details'!$G9+'Sales Forecast Year 1'!K28*'Sales Details'!F9</f>
        <v>0</v>
      </c>
      <c r="K10" s="385">
        <f>'Sales Forecast Year 1'!I28*'Sales Details'!$I9+'Sales Forecast Year 1'!J28*'Sales Details'!$H9+'Sales Forecast Year 1'!K28*'Sales Details'!$G9+'Sales Forecast Year 1'!L28*'Sales Details'!F9</f>
        <v>0</v>
      </c>
      <c r="L10" s="385">
        <f>'Sales Forecast Year 1'!J28*'Sales Details'!$I9+'Sales Forecast Year 1'!K28*'Sales Details'!$H9+'Sales Forecast Year 1'!L28*'Sales Details'!$G9+'Sales Forecast Year 1'!M28*'Sales Details'!F9</f>
        <v>0</v>
      </c>
      <c r="M10" s="385">
        <f>'Sales Forecast Year 1'!K28*'Sales Details'!$I9+'Sales Forecast Year 1'!L28*'Sales Details'!$H9+'Sales Forecast Year 1'!M28*'Sales Details'!$G9+'Sales Forecast Year 1'!N28*'Sales Details'!F9</f>
        <v>0</v>
      </c>
      <c r="N10" s="385">
        <f>'Sales Forecast Year 1'!L28*'Sales Details'!$I9+'Sales Forecast Year 1'!M28*'Sales Details'!$H9+'Sales Forecast Year 1'!N28*'Sales Details'!$G9+'Sales Forecast Year 1'!O28*'Sales Details'!F9</f>
        <v>0</v>
      </c>
      <c r="O10" s="386">
        <f t="shared" si="1"/>
        <v>0</v>
      </c>
      <c r="Q10" s="387">
        <f>ROUND(IF('Sales Forecast Year 1'!$B28="Yes",C10*'Tables and Calculations'!$C$6,0),0)</f>
        <v>0</v>
      </c>
      <c r="R10" s="387">
        <f>ROUND(IF('Sales Forecast Year 1'!$B28="Yes",D10*'Tables and Calculations'!$C$6,0),0)</f>
        <v>0</v>
      </c>
      <c r="S10" s="387">
        <f>ROUND(IF('Sales Forecast Year 1'!$B28="Yes",E10*'Tables and Calculations'!$C$6,0),0)</f>
        <v>0</v>
      </c>
      <c r="T10" s="387">
        <f>ROUND(IF('Sales Forecast Year 1'!$B28="Yes",F10*'Tables and Calculations'!$C$6,0),0)</f>
        <v>0</v>
      </c>
      <c r="U10" s="387">
        <f>ROUND(IF('Sales Forecast Year 1'!$B28="Yes",G10*'Tables and Calculations'!$C$6,0),0)</f>
        <v>0</v>
      </c>
      <c r="V10" s="387">
        <f>ROUND(IF('Sales Forecast Year 1'!$B28="Yes",H10*'Tables and Calculations'!$C$6,0),0)</f>
        <v>0</v>
      </c>
      <c r="W10" s="387">
        <f>ROUND(IF('Sales Forecast Year 1'!$B28="Yes",I10*'Tables and Calculations'!$C$6,0),0)</f>
        <v>0</v>
      </c>
      <c r="X10" s="387">
        <f>ROUND(IF('Sales Forecast Year 1'!$B28="Yes",J10*'Tables and Calculations'!$C$6,0),0)</f>
        <v>0</v>
      </c>
      <c r="Y10" s="387">
        <f>ROUND(IF('Sales Forecast Year 1'!$B28="Yes",K10*'Tables and Calculations'!$C$6,0),0)</f>
        <v>0</v>
      </c>
      <c r="Z10" s="387">
        <f>ROUND(IF('Sales Forecast Year 1'!$B28="Yes",L10*'Tables and Calculations'!$C$6,0),0)</f>
        <v>0</v>
      </c>
      <c r="AA10" s="387">
        <f>ROUND(IF('Sales Forecast Year 1'!$B28="Yes",M10*'Tables and Calculations'!$C$6,0),0)</f>
        <v>0</v>
      </c>
      <c r="AB10" s="387">
        <f>ROUND(IF('Sales Forecast Year 1'!$B28="Yes",N10*'Tables and Calculations'!$C$6,0),0)</f>
        <v>0</v>
      </c>
      <c r="AC10" s="388">
        <f t="shared" si="2"/>
        <v>0</v>
      </c>
    </row>
    <row r="11" spans="1:29" ht="15">
      <c r="A11" s="383">
        <f>'Sales Details'!A10</f>
        <v>0</v>
      </c>
      <c r="B11" s="384"/>
      <c r="C11" s="385">
        <f>'Sales Forecast Year 1'!D29*'Sales Details'!F10</f>
        <v>0</v>
      </c>
      <c r="D11" s="385">
        <f>'Sales Forecast Year 1'!D29*'Sales Details'!G10+'Sales Forecast Year 1'!E29*'Sales Details'!F10</f>
        <v>0</v>
      </c>
      <c r="E11" s="385">
        <f>'Sales Forecast Year 1'!D29*'Sales Details'!H10+'Sales Forecast Year 1'!E29*'Sales Details'!G10+'Sales Forecast Year 1'!F29*'Sales Details'!F10</f>
        <v>0</v>
      </c>
      <c r="F11" s="385">
        <f>'Sales Forecast Year 1'!D29*'Sales Details'!I10+'Sales Forecast Year 1'!E29*'Sales Details'!H10+'Sales Forecast Year 1'!F29*'Sales Details'!G10+'Sales Forecast Year 1'!G29*'Sales Details'!F10</f>
        <v>0</v>
      </c>
      <c r="G11" s="385">
        <f>'Sales Forecast Year 1'!E29*'Sales Details'!$I10+'Sales Forecast Year 1'!F29*'Sales Details'!$H10+'Sales Forecast Year 1'!G29*'Sales Details'!$G10+'Sales Forecast Year 1'!H29*'Sales Details'!F10</f>
        <v>0</v>
      </c>
      <c r="H11" s="385">
        <f>'Sales Forecast Year 1'!F29*'Sales Details'!$I10+'Sales Forecast Year 1'!G29*'Sales Details'!$H10+'Sales Forecast Year 1'!H29*'Sales Details'!$G10+'Sales Forecast Year 1'!I29*'Sales Details'!F10</f>
        <v>0</v>
      </c>
      <c r="I11" s="385">
        <f>'Sales Forecast Year 1'!G29*'Sales Details'!$I10+'Sales Forecast Year 1'!H29*'Sales Details'!$H10+'Sales Forecast Year 1'!I29*'Sales Details'!$G10+'Sales Forecast Year 1'!J29*'Sales Details'!F10</f>
        <v>0</v>
      </c>
      <c r="J11" s="385">
        <f>'Sales Forecast Year 1'!H29*'Sales Details'!$I10+'Sales Forecast Year 1'!I29*'Sales Details'!$H10+'Sales Forecast Year 1'!J29*'Sales Details'!$G10+'Sales Forecast Year 1'!K29*'Sales Details'!F10</f>
        <v>0</v>
      </c>
      <c r="K11" s="385">
        <f>'Sales Forecast Year 1'!I29*'Sales Details'!$I10+'Sales Forecast Year 1'!J29*'Sales Details'!$H10+'Sales Forecast Year 1'!K29*'Sales Details'!$G10+'Sales Forecast Year 1'!L29*'Sales Details'!F10</f>
        <v>0</v>
      </c>
      <c r="L11" s="385">
        <f>'Sales Forecast Year 1'!J29*'Sales Details'!$I10+'Sales Forecast Year 1'!K29*'Sales Details'!$H10+'Sales Forecast Year 1'!L29*'Sales Details'!$G10+'Sales Forecast Year 1'!M29*'Sales Details'!F10</f>
        <v>0</v>
      </c>
      <c r="M11" s="385">
        <f>'Sales Forecast Year 1'!K29*'Sales Details'!$I10+'Sales Forecast Year 1'!L29*'Sales Details'!$H10+'Sales Forecast Year 1'!M29*'Sales Details'!$G10+'Sales Forecast Year 1'!N29*'Sales Details'!F10</f>
        <v>0</v>
      </c>
      <c r="N11" s="385">
        <f>'Sales Forecast Year 1'!L29*'Sales Details'!$I10+'Sales Forecast Year 1'!M29*'Sales Details'!$H10+'Sales Forecast Year 1'!N29*'Sales Details'!$G10+'Sales Forecast Year 1'!O29*'Sales Details'!F10</f>
        <v>0</v>
      </c>
      <c r="O11" s="386">
        <f t="shared" si="1"/>
        <v>0</v>
      </c>
      <c r="Q11" s="387">
        <f>ROUND(IF('Sales Forecast Year 1'!$B29="Yes",C11*'Tables and Calculations'!$C$6,0),0)</f>
        <v>0</v>
      </c>
      <c r="R11" s="387">
        <f>ROUND(IF('Sales Forecast Year 1'!$B29="Yes",D11*'Tables and Calculations'!$C$6,0),0)</f>
        <v>0</v>
      </c>
      <c r="S11" s="387">
        <f>ROUND(IF('Sales Forecast Year 1'!$B29="Yes",E11*'Tables and Calculations'!$C$6,0),0)</f>
        <v>0</v>
      </c>
      <c r="T11" s="387">
        <f>ROUND(IF('Sales Forecast Year 1'!$B29="Yes",F11*'Tables and Calculations'!$C$6,0),0)</f>
        <v>0</v>
      </c>
      <c r="U11" s="387">
        <f>ROUND(IF('Sales Forecast Year 1'!$B29="Yes",G11*'Tables and Calculations'!$C$6,0),0)</f>
        <v>0</v>
      </c>
      <c r="V11" s="387">
        <f>ROUND(IF('Sales Forecast Year 1'!$B29="Yes",H11*'Tables and Calculations'!$C$6,0),0)</f>
        <v>0</v>
      </c>
      <c r="W11" s="387">
        <f>ROUND(IF('Sales Forecast Year 1'!$B29="Yes",I11*'Tables and Calculations'!$C$6,0),0)</f>
        <v>0</v>
      </c>
      <c r="X11" s="387">
        <f>ROUND(IF('Sales Forecast Year 1'!$B29="Yes",J11*'Tables and Calculations'!$C$6,0),0)</f>
        <v>0</v>
      </c>
      <c r="Y11" s="387">
        <f>ROUND(IF('Sales Forecast Year 1'!$B29="Yes",K11*'Tables and Calculations'!$C$6,0),0)</f>
        <v>0</v>
      </c>
      <c r="Z11" s="387">
        <f>ROUND(IF('Sales Forecast Year 1'!$B29="Yes",L11*'Tables and Calculations'!$C$6,0),0)</f>
        <v>0</v>
      </c>
      <c r="AA11" s="387">
        <f>ROUND(IF('Sales Forecast Year 1'!$B29="Yes",M11*'Tables and Calculations'!$C$6,0),0)</f>
        <v>0</v>
      </c>
      <c r="AB11" s="387">
        <f>ROUND(IF('Sales Forecast Year 1'!$B29="Yes",N11*'Tables and Calculations'!$C$6,0),0)</f>
        <v>0</v>
      </c>
      <c r="AC11" s="388">
        <f t="shared" si="2"/>
        <v>0</v>
      </c>
    </row>
    <row r="12" spans="1:29" ht="15">
      <c r="A12" s="383">
        <f>'Sales Details'!A11</f>
        <v>0</v>
      </c>
      <c r="B12" s="384"/>
      <c r="C12" s="385">
        <f>'Sales Forecast Year 1'!D30*'Sales Details'!F11</f>
        <v>0</v>
      </c>
      <c r="D12" s="385">
        <f>'Sales Forecast Year 1'!D30*'Sales Details'!G11+'Sales Forecast Year 1'!E30*'Sales Details'!F11</f>
        <v>0</v>
      </c>
      <c r="E12" s="385">
        <f>'Sales Forecast Year 1'!D30*'Sales Details'!H11+'Sales Forecast Year 1'!E30*'Sales Details'!G11+'Sales Forecast Year 1'!F30*'Sales Details'!F11</f>
        <v>0</v>
      </c>
      <c r="F12" s="385">
        <f>'Sales Forecast Year 1'!D30*'Sales Details'!I11+'Sales Forecast Year 1'!E30*'Sales Details'!H11+'Sales Forecast Year 1'!F30*'Sales Details'!G11+'Sales Forecast Year 1'!G30*'Sales Details'!F11</f>
        <v>0</v>
      </c>
      <c r="G12" s="385">
        <f>'Sales Forecast Year 1'!E30*'Sales Details'!$I11+'Sales Forecast Year 1'!F30*'Sales Details'!$H11+'Sales Forecast Year 1'!G30*'Sales Details'!$G11+'Sales Forecast Year 1'!H30*'Sales Details'!F11</f>
        <v>0</v>
      </c>
      <c r="H12" s="385">
        <f>'Sales Forecast Year 1'!F30*'Sales Details'!$I11+'Sales Forecast Year 1'!G30*'Sales Details'!$H11+'Sales Forecast Year 1'!H30*'Sales Details'!$G11+'Sales Forecast Year 1'!I30*'Sales Details'!F11</f>
        <v>0</v>
      </c>
      <c r="I12" s="385">
        <f>'Sales Forecast Year 1'!G30*'Sales Details'!$I11+'Sales Forecast Year 1'!H30*'Sales Details'!$H11+'Sales Forecast Year 1'!I30*'Sales Details'!$G11+'Sales Forecast Year 1'!J30*'Sales Details'!F11</f>
        <v>0</v>
      </c>
      <c r="J12" s="385">
        <f>'Sales Forecast Year 1'!H30*'Sales Details'!$I11+'Sales Forecast Year 1'!I30*'Sales Details'!$H11+'Sales Forecast Year 1'!J30*'Sales Details'!$G11+'Sales Forecast Year 1'!K30*'Sales Details'!F11</f>
        <v>0</v>
      </c>
      <c r="K12" s="385">
        <f>'Sales Forecast Year 1'!I30*'Sales Details'!$I11+'Sales Forecast Year 1'!J30*'Sales Details'!$H11+'Sales Forecast Year 1'!K30*'Sales Details'!$G11+'Sales Forecast Year 1'!L30*'Sales Details'!F11</f>
        <v>0</v>
      </c>
      <c r="L12" s="385">
        <f>'Sales Forecast Year 1'!J30*'Sales Details'!$I11+'Sales Forecast Year 1'!K30*'Sales Details'!$H11+'Sales Forecast Year 1'!L30*'Sales Details'!$G11+'Sales Forecast Year 1'!M30*'Sales Details'!F11</f>
        <v>0</v>
      </c>
      <c r="M12" s="385">
        <f>'Sales Forecast Year 1'!K30*'Sales Details'!$I11+'Sales Forecast Year 1'!L30*'Sales Details'!$H11+'Sales Forecast Year 1'!M30*'Sales Details'!$G11+'Sales Forecast Year 1'!N30*'Sales Details'!F11</f>
        <v>0</v>
      </c>
      <c r="N12" s="385">
        <f>'Sales Forecast Year 1'!L30*'Sales Details'!$I11+'Sales Forecast Year 1'!M30*'Sales Details'!$H11+'Sales Forecast Year 1'!N30*'Sales Details'!$G11+'Sales Forecast Year 1'!O30*'Sales Details'!F11</f>
        <v>0</v>
      </c>
      <c r="O12" s="386">
        <f t="shared" si="1"/>
        <v>0</v>
      </c>
      <c r="Q12" s="387">
        <f>ROUND(IF('Sales Forecast Year 1'!$B30="Yes",C12*'Tables and Calculations'!$C$6,0),0)</f>
        <v>0</v>
      </c>
      <c r="R12" s="387">
        <f>ROUND(IF('Sales Forecast Year 1'!$B30="Yes",D12*'Tables and Calculations'!$C$6,0),0)</f>
        <v>0</v>
      </c>
      <c r="S12" s="387">
        <f>ROUND(IF('Sales Forecast Year 1'!$B30="Yes",E12*'Tables and Calculations'!$C$6,0),0)</f>
        <v>0</v>
      </c>
      <c r="T12" s="387">
        <f>ROUND(IF('Sales Forecast Year 1'!$B30="Yes",F12*'Tables and Calculations'!$C$6,0),0)</f>
        <v>0</v>
      </c>
      <c r="U12" s="387">
        <f>ROUND(IF('Sales Forecast Year 1'!$B30="Yes",G12*'Tables and Calculations'!$C$6,0),0)</f>
        <v>0</v>
      </c>
      <c r="V12" s="387">
        <f>ROUND(IF('Sales Forecast Year 1'!$B30="Yes",H12*'Tables and Calculations'!$C$6,0),0)</f>
        <v>0</v>
      </c>
      <c r="W12" s="387">
        <f>ROUND(IF('Sales Forecast Year 1'!$B30="Yes",I12*'Tables and Calculations'!$C$6,0),0)</f>
        <v>0</v>
      </c>
      <c r="X12" s="387">
        <f>ROUND(IF('Sales Forecast Year 1'!$B30="Yes",J12*'Tables and Calculations'!$C$6,0),0)</f>
        <v>0</v>
      </c>
      <c r="Y12" s="387">
        <f>ROUND(IF('Sales Forecast Year 1'!$B30="Yes",K12*'Tables and Calculations'!$C$6,0),0)</f>
        <v>0</v>
      </c>
      <c r="Z12" s="387">
        <f>ROUND(IF('Sales Forecast Year 1'!$B30="Yes",L12*'Tables and Calculations'!$C$6,0),0)</f>
        <v>0</v>
      </c>
      <c r="AA12" s="387">
        <f>ROUND(IF('Sales Forecast Year 1'!$B30="Yes",M12*'Tables and Calculations'!$C$6,0),0)</f>
        <v>0</v>
      </c>
      <c r="AB12" s="387">
        <f>ROUND(IF('Sales Forecast Year 1'!$B30="Yes",N12*'Tables and Calculations'!$C$6,0),0)</f>
        <v>0</v>
      </c>
      <c r="AC12" s="388">
        <f t="shared" si="2"/>
        <v>0</v>
      </c>
    </row>
    <row r="13" spans="1:29" ht="15">
      <c r="A13" s="383">
        <f>'Sales Details'!A12</f>
        <v>0</v>
      </c>
      <c r="B13" s="384"/>
      <c r="C13" s="385">
        <f>'Sales Forecast Year 1'!D31*'Sales Details'!F12</f>
        <v>0</v>
      </c>
      <c r="D13" s="385">
        <f>'Sales Forecast Year 1'!D31*'Sales Details'!G12+'Sales Forecast Year 1'!E31*'Sales Details'!F12</f>
        <v>0</v>
      </c>
      <c r="E13" s="385">
        <f>'Sales Forecast Year 1'!D31*'Sales Details'!H12+'Sales Forecast Year 1'!E31*'Sales Details'!G12+'Sales Forecast Year 1'!F31*'Sales Details'!F12</f>
        <v>0</v>
      </c>
      <c r="F13" s="385">
        <f>'Sales Forecast Year 1'!D31*'Sales Details'!I12+'Sales Forecast Year 1'!E31*'Sales Details'!H12+'Sales Forecast Year 1'!F31*'Sales Details'!G12+'Sales Forecast Year 1'!G31*'Sales Details'!F12</f>
        <v>0</v>
      </c>
      <c r="G13" s="385">
        <f>'Sales Forecast Year 1'!E31*'Sales Details'!$I12+'Sales Forecast Year 1'!F31*'Sales Details'!$H12+'Sales Forecast Year 1'!G31*'Sales Details'!$G12+'Sales Forecast Year 1'!H31*'Sales Details'!F12</f>
        <v>0</v>
      </c>
      <c r="H13" s="385">
        <f>'Sales Forecast Year 1'!F31*'Sales Details'!$I12+'Sales Forecast Year 1'!G31*'Sales Details'!$H12+'Sales Forecast Year 1'!H31*'Sales Details'!$G12+'Sales Forecast Year 1'!I31*'Sales Details'!F12</f>
        <v>0</v>
      </c>
      <c r="I13" s="385">
        <f>'Sales Forecast Year 1'!G31*'Sales Details'!$I12+'Sales Forecast Year 1'!H31*'Sales Details'!$H12+'Sales Forecast Year 1'!I31*'Sales Details'!$G12+'Sales Forecast Year 1'!J31*'Sales Details'!F12</f>
        <v>0</v>
      </c>
      <c r="J13" s="385">
        <f>'Sales Forecast Year 1'!H31*'Sales Details'!$I12+'Sales Forecast Year 1'!I31*'Sales Details'!$H12+'Sales Forecast Year 1'!J31*'Sales Details'!$G12+'Sales Forecast Year 1'!K31*'Sales Details'!F12</f>
        <v>0</v>
      </c>
      <c r="K13" s="385">
        <f>'Sales Forecast Year 1'!I31*'Sales Details'!$I12+'Sales Forecast Year 1'!J31*'Sales Details'!$H12+'Sales Forecast Year 1'!K31*'Sales Details'!$G12+'Sales Forecast Year 1'!L31*'Sales Details'!F12</f>
        <v>0</v>
      </c>
      <c r="L13" s="385">
        <f>'Sales Forecast Year 1'!J31*'Sales Details'!$I12+'Sales Forecast Year 1'!K31*'Sales Details'!$H12+'Sales Forecast Year 1'!L31*'Sales Details'!$G12+'Sales Forecast Year 1'!M31*'Sales Details'!F12</f>
        <v>0</v>
      </c>
      <c r="M13" s="385">
        <f>'Sales Forecast Year 1'!K31*'Sales Details'!$I12+'Sales Forecast Year 1'!L31*'Sales Details'!$H12+'Sales Forecast Year 1'!M31*'Sales Details'!$G12+'Sales Forecast Year 1'!N31*'Sales Details'!F12</f>
        <v>0</v>
      </c>
      <c r="N13" s="385">
        <f>'Sales Forecast Year 1'!L31*'Sales Details'!$I12+'Sales Forecast Year 1'!M31*'Sales Details'!$H12+'Sales Forecast Year 1'!N31*'Sales Details'!$G12+'Sales Forecast Year 1'!O31*'Sales Details'!F12</f>
        <v>0</v>
      </c>
      <c r="O13" s="386">
        <f t="shared" si="1"/>
        <v>0</v>
      </c>
      <c r="Q13" s="387">
        <f>ROUND(IF('Sales Forecast Year 1'!$B31="Yes",C13*'Tables and Calculations'!$C$6,0),0)</f>
        <v>0</v>
      </c>
      <c r="R13" s="387">
        <f>ROUND(IF('Sales Forecast Year 1'!$B31="Yes",D13*'Tables and Calculations'!$C$6,0),0)</f>
        <v>0</v>
      </c>
      <c r="S13" s="387">
        <f>ROUND(IF('Sales Forecast Year 1'!$B31="Yes",E13*'Tables and Calculations'!$C$6,0),0)</f>
        <v>0</v>
      </c>
      <c r="T13" s="387">
        <f>ROUND(IF('Sales Forecast Year 1'!$B31="Yes",F13*'Tables and Calculations'!$C$6,0),0)</f>
        <v>0</v>
      </c>
      <c r="U13" s="387">
        <f>ROUND(IF('Sales Forecast Year 1'!$B31="Yes",G13*'Tables and Calculations'!$C$6,0),0)</f>
        <v>0</v>
      </c>
      <c r="V13" s="387">
        <f>ROUND(IF('Sales Forecast Year 1'!$B31="Yes",H13*'Tables and Calculations'!$C$6,0),0)</f>
        <v>0</v>
      </c>
      <c r="W13" s="387">
        <f>ROUND(IF('Sales Forecast Year 1'!$B31="Yes",I13*'Tables and Calculations'!$C$6,0),0)</f>
        <v>0</v>
      </c>
      <c r="X13" s="387">
        <f>ROUND(IF('Sales Forecast Year 1'!$B31="Yes",J13*'Tables and Calculations'!$C$6,0),0)</f>
        <v>0</v>
      </c>
      <c r="Y13" s="387">
        <f>ROUND(IF('Sales Forecast Year 1'!$B31="Yes",K13*'Tables and Calculations'!$C$6,0),0)</f>
        <v>0</v>
      </c>
      <c r="Z13" s="387">
        <f>ROUND(IF('Sales Forecast Year 1'!$B31="Yes",L13*'Tables and Calculations'!$C$6,0),0)</f>
        <v>0</v>
      </c>
      <c r="AA13" s="387">
        <f>ROUND(IF('Sales Forecast Year 1'!$B31="Yes",M13*'Tables and Calculations'!$C$6,0),0)</f>
        <v>0</v>
      </c>
      <c r="AB13" s="387">
        <f>ROUND(IF('Sales Forecast Year 1'!$B31="Yes",N13*'Tables and Calculations'!$C$6,0),0)</f>
        <v>0</v>
      </c>
      <c r="AC13" s="388">
        <f t="shared" si="2"/>
        <v>0</v>
      </c>
    </row>
    <row r="14" spans="1:29" ht="15">
      <c r="A14" s="383">
        <f>'Sales Details'!A13</f>
        <v>0</v>
      </c>
      <c r="B14" s="384"/>
      <c r="C14" s="385">
        <f>'Sales Forecast Year 1'!D32*'Sales Details'!F13</f>
        <v>0</v>
      </c>
      <c r="D14" s="385">
        <f>'Sales Forecast Year 1'!D32*'Sales Details'!G13+'Sales Forecast Year 1'!E32*'Sales Details'!F13</f>
        <v>0</v>
      </c>
      <c r="E14" s="385">
        <f>'Sales Forecast Year 1'!D32*'Sales Details'!H13+'Sales Forecast Year 1'!E32*'Sales Details'!G13+'Sales Forecast Year 1'!F32*'Sales Details'!F13</f>
        <v>0</v>
      </c>
      <c r="F14" s="385">
        <f>'Sales Forecast Year 1'!D32*'Sales Details'!I13+'Sales Forecast Year 1'!E32*'Sales Details'!H13+'Sales Forecast Year 1'!F32*'Sales Details'!G13+'Sales Forecast Year 1'!G32*'Sales Details'!F13</f>
        <v>0</v>
      </c>
      <c r="G14" s="385">
        <f>'Sales Forecast Year 1'!E32*'Sales Details'!$I13+'Sales Forecast Year 1'!F32*'Sales Details'!$H13+'Sales Forecast Year 1'!G32*'Sales Details'!$G13+'Sales Forecast Year 1'!H32*'Sales Details'!F13</f>
        <v>0</v>
      </c>
      <c r="H14" s="385">
        <f>'Sales Forecast Year 1'!F32*'Sales Details'!$I13+'Sales Forecast Year 1'!G32*'Sales Details'!$H13+'Sales Forecast Year 1'!H32*'Sales Details'!$G13+'Sales Forecast Year 1'!I32*'Sales Details'!F13</f>
        <v>0</v>
      </c>
      <c r="I14" s="385">
        <f>'Sales Forecast Year 1'!G32*'Sales Details'!$I13+'Sales Forecast Year 1'!H32*'Sales Details'!$H13+'Sales Forecast Year 1'!I32*'Sales Details'!$G13+'Sales Forecast Year 1'!J32*'Sales Details'!F13</f>
        <v>0</v>
      </c>
      <c r="J14" s="385">
        <f>'Sales Forecast Year 1'!H32*'Sales Details'!$I13+'Sales Forecast Year 1'!I32*'Sales Details'!$H13+'Sales Forecast Year 1'!J32*'Sales Details'!$G13+'Sales Forecast Year 1'!K32*'Sales Details'!F13</f>
        <v>0</v>
      </c>
      <c r="K14" s="385">
        <f>'Sales Forecast Year 1'!I32*'Sales Details'!$I13+'Sales Forecast Year 1'!J32*'Sales Details'!$H13+'Sales Forecast Year 1'!K32*'Sales Details'!$G13+'Sales Forecast Year 1'!L32*'Sales Details'!F13</f>
        <v>0</v>
      </c>
      <c r="L14" s="385">
        <f>'Sales Forecast Year 1'!J32*'Sales Details'!$I13+'Sales Forecast Year 1'!K32*'Sales Details'!$H13+'Sales Forecast Year 1'!L32*'Sales Details'!$G13+'Sales Forecast Year 1'!M32*'Sales Details'!F13</f>
        <v>0</v>
      </c>
      <c r="M14" s="385">
        <f>'Sales Forecast Year 1'!K32*'Sales Details'!$I13+'Sales Forecast Year 1'!L32*'Sales Details'!$H13+'Sales Forecast Year 1'!M32*'Sales Details'!$G13+'Sales Forecast Year 1'!N32*'Sales Details'!F13</f>
        <v>0</v>
      </c>
      <c r="N14" s="385">
        <f>'Sales Forecast Year 1'!L32*'Sales Details'!$I13+'Sales Forecast Year 1'!M32*'Sales Details'!$H13+'Sales Forecast Year 1'!N32*'Sales Details'!$G13+'Sales Forecast Year 1'!O32*'Sales Details'!F13</f>
        <v>0</v>
      </c>
      <c r="O14" s="386">
        <f t="shared" si="1"/>
        <v>0</v>
      </c>
      <c r="Q14" s="387">
        <f>ROUND(IF('Sales Forecast Year 1'!$B32="Yes",C14*'Tables and Calculations'!$C$6,0),0)</f>
        <v>0</v>
      </c>
      <c r="R14" s="387">
        <f>ROUND(IF('Sales Forecast Year 1'!$B32="Yes",D14*'Tables and Calculations'!$C$6,0),0)</f>
        <v>0</v>
      </c>
      <c r="S14" s="387">
        <f>ROUND(IF('Sales Forecast Year 1'!$B32="Yes",E14*'Tables and Calculations'!$C$6,0),0)</f>
        <v>0</v>
      </c>
      <c r="T14" s="387">
        <f>ROUND(IF('Sales Forecast Year 1'!$B32="Yes",F14*'Tables and Calculations'!$C$6,0),0)</f>
        <v>0</v>
      </c>
      <c r="U14" s="387">
        <f>ROUND(IF('Sales Forecast Year 1'!$B32="Yes",G14*'Tables and Calculations'!$C$6,0),0)</f>
        <v>0</v>
      </c>
      <c r="V14" s="387">
        <f>ROUND(IF('Sales Forecast Year 1'!$B32="Yes",H14*'Tables and Calculations'!$C$6,0),0)</f>
        <v>0</v>
      </c>
      <c r="W14" s="387">
        <f>ROUND(IF('Sales Forecast Year 1'!$B32="Yes",I14*'Tables and Calculations'!$C$6,0),0)</f>
        <v>0</v>
      </c>
      <c r="X14" s="387">
        <f>ROUND(IF('Sales Forecast Year 1'!$B32="Yes",J14*'Tables and Calculations'!$C$6,0),0)</f>
        <v>0</v>
      </c>
      <c r="Y14" s="387">
        <f>ROUND(IF('Sales Forecast Year 1'!$B32="Yes",K14*'Tables and Calculations'!$C$6,0),0)</f>
        <v>0</v>
      </c>
      <c r="Z14" s="387">
        <f>ROUND(IF('Sales Forecast Year 1'!$B32="Yes",L14*'Tables and Calculations'!$C$6,0),0)</f>
        <v>0</v>
      </c>
      <c r="AA14" s="387">
        <f>ROUND(IF('Sales Forecast Year 1'!$B32="Yes",M14*'Tables and Calculations'!$C$6,0),0)</f>
        <v>0</v>
      </c>
      <c r="AB14" s="387">
        <f>ROUND(IF('Sales Forecast Year 1'!$B32="Yes",N14*'Tables and Calculations'!$C$6,0),0)</f>
        <v>0</v>
      </c>
      <c r="AC14" s="388">
        <f t="shared" si="2"/>
        <v>0</v>
      </c>
    </row>
    <row r="15" spans="1:29" ht="15">
      <c r="A15" s="383">
        <f>'Sales Details'!A14</f>
        <v>0</v>
      </c>
      <c r="B15" s="384"/>
      <c r="C15" s="385">
        <f>'Sales Forecast Year 1'!D33*'Sales Details'!F14</f>
        <v>0</v>
      </c>
      <c r="D15" s="385">
        <f>'Sales Forecast Year 1'!D33*'Sales Details'!G14+'Sales Forecast Year 1'!E33*'Sales Details'!F14</f>
        <v>0</v>
      </c>
      <c r="E15" s="385">
        <f>'Sales Forecast Year 1'!D33*'Sales Details'!H14+'Sales Forecast Year 1'!E33*'Sales Details'!G14+'Sales Forecast Year 1'!F33*'Sales Details'!F14</f>
        <v>0</v>
      </c>
      <c r="F15" s="385">
        <f>'Sales Forecast Year 1'!D33*'Sales Details'!I14+'Sales Forecast Year 1'!E33*'Sales Details'!H14+'Sales Forecast Year 1'!F33*'Sales Details'!G14+'Sales Forecast Year 1'!G33*'Sales Details'!F14</f>
        <v>0</v>
      </c>
      <c r="G15" s="385">
        <f>'Sales Forecast Year 1'!E33*'Sales Details'!$I14+'Sales Forecast Year 1'!F33*'Sales Details'!$H14+'Sales Forecast Year 1'!G33*'Sales Details'!$G14+'Sales Forecast Year 1'!H33*'Sales Details'!F14</f>
        <v>0</v>
      </c>
      <c r="H15" s="385">
        <f>'Sales Forecast Year 1'!F33*'Sales Details'!$I14+'Sales Forecast Year 1'!G33*'Sales Details'!$H14+'Sales Forecast Year 1'!H33*'Sales Details'!$G14+'Sales Forecast Year 1'!I33*'Sales Details'!F14</f>
        <v>0</v>
      </c>
      <c r="I15" s="385">
        <f>'Sales Forecast Year 1'!G33*'Sales Details'!$I14+'Sales Forecast Year 1'!H33*'Sales Details'!$H14+'Sales Forecast Year 1'!I33*'Sales Details'!$G14+'Sales Forecast Year 1'!J33*'Sales Details'!F14</f>
        <v>0</v>
      </c>
      <c r="J15" s="385">
        <f>'Sales Forecast Year 1'!H33*'Sales Details'!$I14+'Sales Forecast Year 1'!I33*'Sales Details'!$H14+'Sales Forecast Year 1'!J33*'Sales Details'!$G14+'Sales Forecast Year 1'!K33*'Sales Details'!F14</f>
        <v>0</v>
      </c>
      <c r="K15" s="385">
        <f>'Sales Forecast Year 1'!I33*'Sales Details'!$I14+'Sales Forecast Year 1'!J33*'Sales Details'!$H14+'Sales Forecast Year 1'!K33*'Sales Details'!$G14+'Sales Forecast Year 1'!L33*'Sales Details'!F14</f>
        <v>0</v>
      </c>
      <c r="L15" s="385">
        <f>'Sales Forecast Year 1'!J33*'Sales Details'!$I14+'Sales Forecast Year 1'!K33*'Sales Details'!$H14+'Sales Forecast Year 1'!L33*'Sales Details'!$G14+'Sales Forecast Year 1'!M33*'Sales Details'!F14</f>
        <v>0</v>
      </c>
      <c r="M15" s="385">
        <f>'Sales Forecast Year 1'!K33*'Sales Details'!$I14+'Sales Forecast Year 1'!L33*'Sales Details'!$H14+'Sales Forecast Year 1'!M33*'Sales Details'!$G14+'Sales Forecast Year 1'!N33*'Sales Details'!F14</f>
        <v>0</v>
      </c>
      <c r="N15" s="385">
        <f>'Sales Forecast Year 1'!L33*'Sales Details'!$I14+'Sales Forecast Year 1'!M33*'Sales Details'!$H14+'Sales Forecast Year 1'!N33*'Sales Details'!$G14+'Sales Forecast Year 1'!O33*'Sales Details'!F14</f>
        <v>0</v>
      </c>
      <c r="O15" s="386">
        <f t="shared" si="1"/>
        <v>0</v>
      </c>
      <c r="Q15" s="387">
        <f>ROUND(IF('Sales Forecast Year 1'!$B33="Yes",C15*'Tables and Calculations'!$C$6,0),0)</f>
        <v>0</v>
      </c>
      <c r="R15" s="387">
        <f>ROUND(IF('Sales Forecast Year 1'!$B33="Yes",D15*'Tables and Calculations'!$C$6,0),0)</f>
        <v>0</v>
      </c>
      <c r="S15" s="387">
        <f>ROUND(IF('Sales Forecast Year 1'!$B33="Yes",E15*'Tables and Calculations'!$C$6,0),0)</f>
        <v>0</v>
      </c>
      <c r="T15" s="387">
        <f>ROUND(IF('Sales Forecast Year 1'!$B33="Yes",F15*'Tables and Calculations'!$C$6,0),0)</f>
        <v>0</v>
      </c>
      <c r="U15" s="387">
        <f>ROUND(IF('Sales Forecast Year 1'!$B33="Yes",G15*'Tables and Calculations'!$C$6,0),0)</f>
        <v>0</v>
      </c>
      <c r="V15" s="387">
        <f>ROUND(IF('Sales Forecast Year 1'!$B33="Yes",H15*'Tables and Calculations'!$C$6,0),0)</f>
        <v>0</v>
      </c>
      <c r="W15" s="387">
        <f>ROUND(IF('Sales Forecast Year 1'!$B33="Yes",I15*'Tables and Calculations'!$C$6,0),0)</f>
        <v>0</v>
      </c>
      <c r="X15" s="387">
        <f>ROUND(IF('Sales Forecast Year 1'!$B33="Yes",J15*'Tables and Calculations'!$C$6,0),0)</f>
        <v>0</v>
      </c>
      <c r="Y15" s="387">
        <f>ROUND(IF('Sales Forecast Year 1'!$B33="Yes",K15*'Tables and Calculations'!$C$6,0),0)</f>
        <v>0</v>
      </c>
      <c r="Z15" s="387">
        <f>ROUND(IF('Sales Forecast Year 1'!$B33="Yes",L15*'Tables and Calculations'!$C$6,0),0)</f>
        <v>0</v>
      </c>
      <c r="AA15" s="387">
        <f>ROUND(IF('Sales Forecast Year 1'!$B33="Yes",M15*'Tables and Calculations'!$C$6,0),0)</f>
        <v>0</v>
      </c>
      <c r="AB15" s="387">
        <f>ROUND(IF('Sales Forecast Year 1'!$B33="Yes",N15*'Tables and Calculations'!$C$6,0),0)</f>
        <v>0</v>
      </c>
      <c r="AC15" s="388">
        <f t="shared" si="2"/>
        <v>0</v>
      </c>
    </row>
    <row r="16" spans="1:29" ht="15">
      <c r="A16" s="383">
        <f>'Sales Details'!A15</f>
        <v>0</v>
      </c>
      <c r="B16" s="384"/>
      <c r="C16" s="385">
        <f>'Sales Forecast Year 1'!D34*'Sales Details'!F15</f>
        <v>0</v>
      </c>
      <c r="D16" s="385">
        <f>'Sales Forecast Year 1'!D34*'Sales Details'!G15+'Sales Forecast Year 1'!E34*'Sales Details'!F15</f>
        <v>0</v>
      </c>
      <c r="E16" s="385">
        <f>'Sales Forecast Year 1'!D34*'Sales Details'!H15+'Sales Forecast Year 1'!E34*'Sales Details'!G15+'Sales Forecast Year 1'!F34*'Sales Details'!F15</f>
        <v>0</v>
      </c>
      <c r="F16" s="385">
        <f>'Sales Forecast Year 1'!D34*'Sales Details'!I15+'Sales Forecast Year 1'!E34*'Sales Details'!H15+'Sales Forecast Year 1'!F34*'Sales Details'!G15+'Sales Forecast Year 1'!G34*'Sales Details'!F15</f>
        <v>0</v>
      </c>
      <c r="G16" s="385">
        <f>'Sales Forecast Year 1'!E34*'Sales Details'!$I15+'Sales Forecast Year 1'!F34*'Sales Details'!$H15+'Sales Forecast Year 1'!G34*'Sales Details'!$G15+'Sales Forecast Year 1'!H34*'Sales Details'!F15</f>
        <v>0</v>
      </c>
      <c r="H16" s="385">
        <f>'Sales Forecast Year 1'!F34*'Sales Details'!$I15+'Sales Forecast Year 1'!G34*'Sales Details'!$H15+'Sales Forecast Year 1'!H34*'Sales Details'!$G15+'Sales Forecast Year 1'!I34*'Sales Details'!F15</f>
        <v>0</v>
      </c>
      <c r="I16" s="385">
        <f>'Sales Forecast Year 1'!G34*'Sales Details'!$I15+'Sales Forecast Year 1'!H34*'Sales Details'!$H15+'Sales Forecast Year 1'!I34*'Sales Details'!$G15+'Sales Forecast Year 1'!J34*'Sales Details'!F15</f>
        <v>0</v>
      </c>
      <c r="J16" s="385">
        <f>'Sales Forecast Year 1'!H34*'Sales Details'!$I15+'Sales Forecast Year 1'!I34*'Sales Details'!$H15+'Sales Forecast Year 1'!J34*'Sales Details'!$G15+'Sales Forecast Year 1'!K34*'Sales Details'!F15</f>
        <v>0</v>
      </c>
      <c r="K16" s="385">
        <f>'Sales Forecast Year 1'!I34*'Sales Details'!$I15+'Sales Forecast Year 1'!J34*'Sales Details'!$H15+'Sales Forecast Year 1'!K34*'Sales Details'!$G15+'Sales Forecast Year 1'!L34*'Sales Details'!F15</f>
        <v>0</v>
      </c>
      <c r="L16" s="385">
        <f>'Sales Forecast Year 1'!J34*'Sales Details'!$I15+'Sales Forecast Year 1'!K34*'Sales Details'!$H15+'Sales Forecast Year 1'!L34*'Sales Details'!$G15+'Sales Forecast Year 1'!M34*'Sales Details'!F15</f>
        <v>0</v>
      </c>
      <c r="M16" s="385">
        <f>'Sales Forecast Year 1'!K34*'Sales Details'!$I15+'Sales Forecast Year 1'!L34*'Sales Details'!$H15+'Sales Forecast Year 1'!M34*'Sales Details'!$G15+'Sales Forecast Year 1'!N34*'Sales Details'!F15</f>
        <v>0</v>
      </c>
      <c r="N16" s="385">
        <f>'Sales Forecast Year 1'!L34*'Sales Details'!$I15+'Sales Forecast Year 1'!M34*'Sales Details'!$H15+'Sales Forecast Year 1'!N34*'Sales Details'!$G15+'Sales Forecast Year 1'!O34*'Sales Details'!F15</f>
        <v>0</v>
      </c>
      <c r="O16" s="386">
        <f t="shared" si="1"/>
        <v>0</v>
      </c>
      <c r="Q16" s="387">
        <f>ROUND(IF('Sales Forecast Year 1'!$B34="Yes",C16*'Tables and Calculations'!$C$6,0),0)</f>
        <v>0</v>
      </c>
      <c r="R16" s="387">
        <f>ROUND(IF('Sales Forecast Year 1'!$B34="Yes",D16*'Tables and Calculations'!$C$6,0),0)</f>
        <v>0</v>
      </c>
      <c r="S16" s="387">
        <f>ROUND(IF('Sales Forecast Year 1'!$B34="Yes",E16*'Tables and Calculations'!$C$6,0),0)</f>
        <v>0</v>
      </c>
      <c r="T16" s="387">
        <f>ROUND(IF('Sales Forecast Year 1'!$B34="Yes",F16*'Tables and Calculations'!$C$6,0),0)</f>
        <v>0</v>
      </c>
      <c r="U16" s="387">
        <f>ROUND(IF('Sales Forecast Year 1'!$B34="Yes",G16*'Tables and Calculations'!$C$6,0),0)</f>
        <v>0</v>
      </c>
      <c r="V16" s="387">
        <f>ROUND(IF('Sales Forecast Year 1'!$B34="Yes",H16*'Tables and Calculations'!$C$6,0),0)</f>
        <v>0</v>
      </c>
      <c r="W16" s="387">
        <f>ROUND(IF('Sales Forecast Year 1'!$B34="Yes",I16*'Tables and Calculations'!$C$6,0),0)</f>
        <v>0</v>
      </c>
      <c r="X16" s="387">
        <f>ROUND(IF('Sales Forecast Year 1'!$B34="Yes",J16*'Tables and Calculations'!$C$6,0),0)</f>
        <v>0</v>
      </c>
      <c r="Y16" s="387">
        <f>ROUND(IF('Sales Forecast Year 1'!$B34="Yes",K16*'Tables and Calculations'!$C$6,0),0)</f>
        <v>0</v>
      </c>
      <c r="Z16" s="387">
        <f>ROUND(IF('Sales Forecast Year 1'!$B34="Yes",L16*'Tables and Calculations'!$C$6,0),0)</f>
        <v>0</v>
      </c>
      <c r="AA16" s="387">
        <f>ROUND(IF('Sales Forecast Year 1'!$B34="Yes",M16*'Tables and Calculations'!$C$6,0),0)</f>
        <v>0</v>
      </c>
      <c r="AB16" s="387">
        <f>ROUND(IF('Sales Forecast Year 1'!$B34="Yes",N16*'Tables and Calculations'!$C$6,0),0)</f>
        <v>0</v>
      </c>
      <c r="AC16" s="388">
        <f t="shared" si="2"/>
        <v>0</v>
      </c>
    </row>
    <row r="17" spans="1:29" ht="15">
      <c r="A17" s="383">
        <f>'Sales Details'!A16</f>
        <v>0</v>
      </c>
      <c r="B17" s="384"/>
      <c r="C17" s="385">
        <f>'Sales Forecast Year 1'!D35*'Sales Details'!F16</f>
        <v>0</v>
      </c>
      <c r="D17" s="385">
        <f>'Sales Forecast Year 1'!D35*'Sales Details'!G16+'Sales Forecast Year 1'!E35*'Sales Details'!F16</f>
        <v>0</v>
      </c>
      <c r="E17" s="385">
        <f>'Sales Forecast Year 1'!D35*'Sales Details'!H16+'Sales Forecast Year 1'!E35*'Sales Details'!G16+'Sales Forecast Year 1'!F35*'Sales Details'!F16</f>
        <v>0</v>
      </c>
      <c r="F17" s="385">
        <f>'Sales Forecast Year 1'!D35*'Sales Details'!I16+'Sales Forecast Year 1'!E35*'Sales Details'!H16+'Sales Forecast Year 1'!F35*'Sales Details'!G16+'Sales Forecast Year 1'!G35*'Sales Details'!F16</f>
        <v>0</v>
      </c>
      <c r="G17" s="385">
        <f>'Sales Forecast Year 1'!E35*'Sales Details'!$I16+'Sales Forecast Year 1'!F35*'Sales Details'!$H16+'Sales Forecast Year 1'!G35*'Sales Details'!$G16+'Sales Forecast Year 1'!H35*'Sales Details'!F16</f>
        <v>0</v>
      </c>
      <c r="H17" s="385">
        <f>'Sales Forecast Year 1'!F35*'Sales Details'!$I16+'Sales Forecast Year 1'!G35*'Sales Details'!$H16+'Sales Forecast Year 1'!H35*'Sales Details'!$G16+'Sales Forecast Year 1'!I35*'Sales Details'!F16</f>
        <v>0</v>
      </c>
      <c r="I17" s="385">
        <f>'Sales Forecast Year 1'!G35*'Sales Details'!$I16+'Sales Forecast Year 1'!H35*'Sales Details'!$H16+'Sales Forecast Year 1'!I35*'Sales Details'!$G16+'Sales Forecast Year 1'!J35*'Sales Details'!F16</f>
        <v>0</v>
      </c>
      <c r="J17" s="385">
        <f>'Sales Forecast Year 1'!H35*'Sales Details'!$I16+'Sales Forecast Year 1'!I35*'Sales Details'!$H16+'Sales Forecast Year 1'!J35*'Sales Details'!$G16+'Sales Forecast Year 1'!K35*'Sales Details'!F16</f>
        <v>0</v>
      </c>
      <c r="K17" s="385">
        <f>'Sales Forecast Year 1'!I35*'Sales Details'!$I16+'Sales Forecast Year 1'!J35*'Sales Details'!$H16+'Sales Forecast Year 1'!K35*'Sales Details'!$G16+'Sales Forecast Year 1'!L35*'Sales Details'!F16</f>
        <v>0</v>
      </c>
      <c r="L17" s="385">
        <f>'Sales Forecast Year 1'!J35*'Sales Details'!$I16+'Sales Forecast Year 1'!K35*'Sales Details'!$H16+'Sales Forecast Year 1'!L35*'Sales Details'!$G16+'Sales Forecast Year 1'!M35*'Sales Details'!F16</f>
        <v>0</v>
      </c>
      <c r="M17" s="385">
        <f>'Sales Forecast Year 1'!K35*'Sales Details'!$I16+'Sales Forecast Year 1'!L35*'Sales Details'!$H16+'Sales Forecast Year 1'!M35*'Sales Details'!$G16+'Sales Forecast Year 1'!N35*'Sales Details'!F16</f>
        <v>0</v>
      </c>
      <c r="N17" s="385">
        <f>'Sales Forecast Year 1'!L35*'Sales Details'!$I16+'Sales Forecast Year 1'!M35*'Sales Details'!$H16+'Sales Forecast Year 1'!N35*'Sales Details'!$G16+'Sales Forecast Year 1'!O35*'Sales Details'!F16</f>
        <v>0</v>
      </c>
      <c r="O17" s="386">
        <f t="shared" si="1"/>
        <v>0</v>
      </c>
      <c r="Q17" s="387">
        <f>ROUND(IF('Sales Forecast Year 1'!$B35="Yes",C17*'Tables and Calculations'!$C$6,0),0)</f>
        <v>0</v>
      </c>
      <c r="R17" s="387">
        <f>ROUND(IF('Sales Forecast Year 1'!$B35="Yes",D17*'Tables and Calculations'!$C$6,0),0)</f>
        <v>0</v>
      </c>
      <c r="S17" s="387">
        <f>ROUND(IF('Sales Forecast Year 1'!$B35="Yes",E17*'Tables and Calculations'!$C$6,0),0)</f>
        <v>0</v>
      </c>
      <c r="T17" s="387">
        <f>ROUND(IF('Sales Forecast Year 1'!$B35="Yes",F17*'Tables and Calculations'!$C$6,0),0)</f>
        <v>0</v>
      </c>
      <c r="U17" s="387">
        <f>ROUND(IF('Sales Forecast Year 1'!$B35="Yes",G17*'Tables and Calculations'!$C$6,0),0)</f>
        <v>0</v>
      </c>
      <c r="V17" s="387">
        <f>ROUND(IF('Sales Forecast Year 1'!$B35="Yes",H17*'Tables and Calculations'!$C$6,0),0)</f>
        <v>0</v>
      </c>
      <c r="W17" s="387">
        <f>ROUND(IF('Sales Forecast Year 1'!$B35="Yes",I17*'Tables and Calculations'!$C$6,0),0)</f>
        <v>0</v>
      </c>
      <c r="X17" s="387">
        <f>ROUND(IF('Sales Forecast Year 1'!$B35="Yes",J17*'Tables and Calculations'!$C$6,0),0)</f>
        <v>0</v>
      </c>
      <c r="Y17" s="387">
        <f>ROUND(IF('Sales Forecast Year 1'!$B35="Yes",K17*'Tables and Calculations'!$C$6,0),0)</f>
        <v>0</v>
      </c>
      <c r="Z17" s="387">
        <f>ROUND(IF('Sales Forecast Year 1'!$B35="Yes",L17*'Tables and Calculations'!$C$6,0),0)</f>
        <v>0</v>
      </c>
      <c r="AA17" s="387">
        <f>ROUND(IF('Sales Forecast Year 1'!$B35="Yes",M17*'Tables and Calculations'!$C$6,0),0)</f>
        <v>0</v>
      </c>
      <c r="AB17" s="387">
        <f>ROUND(IF('Sales Forecast Year 1'!$B35="Yes",N17*'Tables and Calculations'!$C$6,0),0)</f>
        <v>0</v>
      </c>
      <c r="AC17" s="388">
        <f t="shared" si="2"/>
        <v>0</v>
      </c>
    </row>
    <row r="18" spans="1:29" ht="15">
      <c r="A18" s="383">
        <f>'Sales Details'!A17</f>
        <v>0</v>
      </c>
      <c r="B18" s="384"/>
      <c r="C18" s="385">
        <f>'Sales Forecast Year 1'!D36*'Sales Details'!F17</f>
        <v>0</v>
      </c>
      <c r="D18" s="385">
        <f>'Sales Forecast Year 1'!D36*'Sales Details'!G17+'Sales Forecast Year 1'!E36*'Sales Details'!F17</f>
        <v>0</v>
      </c>
      <c r="E18" s="385">
        <f>'Sales Forecast Year 1'!D36*'Sales Details'!H17+'Sales Forecast Year 1'!E36*'Sales Details'!G17+'Sales Forecast Year 1'!F36*'Sales Details'!F17</f>
        <v>0</v>
      </c>
      <c r="F18" s="385">
        <f>'Sales Forecast Year 1'!D36*'Sales Details'!I17+'Sales Forecast Year 1'!E36*'Sales Details'!H17+'Sales Forecast Year 1'!F36*'Sales Details'!G17+'Sales Forecast Year 1'!G36*'Sales Details'!F17</f>
        <v>0</v>
      </c>
      <c r="G18" s="385">
        <f>'Sales Forecast Year 1'!E36*'Sales Details'!$I17+'Sales Forecast Year 1'!F36*'Sales Details'!$H17+'Sales Forecast Year 1'!G36*'Sales Details'!$G17+'Sales Forecast Year 1'!H36*'Sales Details'!F17</f>
        <v>0</v>
      </c>
      <c r="H18" s="385">
        <f>'Sales Forecast Year 1'!F36*'Sales Details'!$I17+'Sales Forecast Year 1'!G36*'Sales Details'!$H17+'Sales Forecast Year 1'!H36*'Sales Details'!$G17+'Sales Forecast Year 1'!I36*'Sales Details'!F17</f>
        <v>0</v>
      </c>
      <c r="I18" s="385">
        <f>'Sales Forecast Year 1'!G36*'Sales Details'!$I17+'Sales Forecast Year 1'!H36*'Sales Details'!$H17+'Sales Forecast Year 1'!I36*'Sales Details'!$G17+'Sales Forecast Year 1'!J36*'Sales Details'!F17</f>
        <v>0</v>
      </c>
      <c r="J18" s="385">
        <f>'Sales Forecast Year 1'!H36*'Sales Details'!$I17+'Sales Forecast Year 1'!I36*'Sales Details'!$H17+'Sales Forecast Year 1'!J36*'Sales Details'!$G17+'Sales Forecast Year 1'!K36*'Sales Details'!F17</f>
        <v>0</v>
      </c>
      <c r="K18" s="385">
        <f>'Sales Forecast Year 1'!I36*'Sales Details'!$I17+'Sales Forecast Year 1'!J36*'Sales Details'!$H17+'Sales Forecast Year 1'!K36*'Sales Details'!$G17+'Sales Forecast Year 1'!L36*'Sales Details'!F17</f>
        <v>0</v>
      </c>
      <c r="L18" s="385">
        <f>'Sales Forecast Year 1'!J36*'Sales Details'!$I17+'Sales Forecast Year 1'!K36*'Sales Details'!$H17+'Sales Forecast Year 1'!L36*'Sales Details'!$G17+'Sales Forecast Year 1'!M36*'Sales Details'!F17</f>
        <v>0</v>
      </c>
      <c r="M18" s="385">
        <f>'Sales Forecast Year 1'!K36*'Sales Details'!$I17+'Sales Forecast Year 1'!L36*'Sales Details'!$H17+'Sales Forecast Year 1'!M36*'Sales Details'!$G17+'Sales Forecast Year 1'!N36*'Sales Details'!F17</f>
        <v>0</v>
      </c>
      <c r="N18" s="385">
        <f>'Sales Forecast Year 1'!L36*'Sales Details'!$I17+'Sales Forecast Year 1'!M36*'Sales Details'!$H17+'Sales Forecast Year 1'!N36*'Sales Details'!$G17+'Sales Forecast Year 1'!O36*'Sales Details'!F17</f>
        <v>0</v>
      </c>
      <c r="O18" s="386">
        <f t="shared" si="1"/>
        <v>0</v>
      </c>
      <c r="Q18" s="387">
        <f>ROUND(IF('Sales Forecast Year 1'!$B36="Yes",C18*'Tables and Calculations'!$C$6,0),0)</f>
        <v>0</v>
      </c>
      <c r="R18" s="387">
        <f>ROUND(IF('Sales Forecast Year 1'!$B36="Yes",D18*'Tables and Calculations'!$C$6,0),0)</f>
        <v>0</v>
      </c>
      <c r="S18" s="387">
        <f>ROUND(IF('Sales Forecast Year 1'!$B36="Yes",E18*'Tables and Calculations'!$C$6,0),0)</f>
        <v>0</v>
      </c>
      <c r="T18" s="387">
        <f>ROUND(IF('Sales Forecast Year 1'!$B36="Yes",F18*'Tables and Calculations'!$C$6,0),0)</f>
        <v>0</v>
      </c>
      <c r="U18" s="387">
        <f>ROUND(IF('Sales Forecast Year 1'!$B36="Yes",G18*'Tables and Calculations'!$C$6,0),0)</f>
        <v>0</v>
      </c>
      <c r="V18" s="387">
        <f>ROUND(IF('Sales Forecast Year 1'!$B36="Yes",H18*'Tables and Calculations'!$C$6,0),0)</f>
        <v>0</v>
      </c>
      <c r="W18" s="387">
        <f>ROUND(IF('Sales Forecast Year 1'!$B36="Yes",I18*'Tables and Calculations'!$C$6,0),0)</f>
        <v>0</v>
      </c>
      <c r="X18" s="387">
        <f>ROUND(IF('Sales Forecast Year 1'!$B36="Yes",J18*'Tables and Calculations'!$C$6,0),0)</f>
        <v>0</v>
      </c>
      <c r="Y18" s="387">
        <f>ROUND(IF('Sales Forecast Year 1'!$B36="Yes",K18*'Tables and Calculations'!$C$6,0),0)</f>
        <v>0</v>
      </c>
      <c r="Z18" s="387">
        <f>ROUND(IF('Sales Forecast Year 1'!$B36="Yes",L18*'Tables and Calculations'!$C$6,0),0)</f>
        <v>0</v>
      </c>
      <c r="AA18" s="387">
        <f>ROUND(IF('Sales Forecast Year 1'!$B36="Yes",M18*'Tables and Calculations'!$C$6,0),0)</f>
        <v>0</v>
      </c>
      <c r="AB18" s="387">
        <f>ROUND(IF('Sales Forecast Year 1'!$B36="Yes",N18*'Tables and Calculations'!$C$6,0),0)</f>
        <v>0</v>
      </c>
      <c r="AC18" s="388">
        <f t="shared" si="2"/>
        <v>0</v>
      </c>
    </row>
    <row r="19" spans="1:29" ht="15">
      <c r="A19" s="383">
        <f>'Sales Details'!A18</f>
        <v>0</v>
      </c>
      <c r="B19" s="384"/>
      <c r="C19" s="385">
        <f>'Sales Forecast Year 1'!D37*'Sales Details'!F18</f>
        <v>0</v>
      </c>
      <c r="D19" s="385">
        <f>'Sales Forecast Year 1'!D37*'Sales Details'!G18+'Sales Forecast Year 1'!E37*'Sales Details'!F18</f>
        <v>0</v>
      </c>
      <c r="E19" s="385">
        <f>'Sales Forecast Year 1'!D37*'Sales Details'!H18+'Sales Forecast Year 1'!E37*'Sales Details'!G18+'Sales Forecast Year 1'!F37*'Sales Details'!F18</f>
        <v>0</v>
      </c>
      <c r="F19" s="385">
        <f>'Sales Forecast Year 1'!D37*'Sales Details'!I18+'Sales Forecast Year 1'!E37*'Sales Details'!H18+'Sales Forecast Year 1'!F37*'Sales Details'!G18+'Sales Forecast Year 1'!G37*'Sales Details'!F18</f>
        <v>0</v>
      </c>
      <c r="G19" s="385">
        <f>'Sales Forecast Year 1'!E37*'Sales Details'!$I18+'Sales Forecast Year 1'!F37*'Sales Details'!$H18+'Sales Forecast Year 1'!G37*'Sales Details'!$G18+'Sales Forecast Year 1'!H37*'Sales Details'!F18</f>
        <v>0</v>
      </c>
      <c r="H19" s="385">
        <f>'Sales Forecast Year 1'!F37*'Sales Details'!$I18+'Sales Forecast Year 1'!G37*'Sales Details'!$H18+'Sales Forecast Year 1'!H37*'Sales Details'!$G18+'Sales Forecast Year 1'!I37*'Sales Details'!F18</f>
        <v>0</v>
      </c>
      <c r="I19" s="385">
        <f>'Sales Forecast Year 1'!G37*'Sales Details'!$I18+'Sales Forecast Year 1'!H37*'Sales Details'!$H18+'Sales Forecast Year 1'!I37*'Sales Details'!$G18+'Sales Forecast Year 1'!J37*'Sales Details'!F18</f>
        <v>0</v>
      </c>
      <c r="J19" s="385">
        <f>'Sales Forecast Year 1'!H37*'Sales Details'!$I18+'Sales Forecast Year 1'!I37*'Sales Details'!$H18+'Sales Forecast Year 1'!J37*'Sales Details'!$G18+'Sales Forecast Year 1'!K37*'Sales Details'!F18</f>
        <v>0</v>
      </c>
      <c r="K19" s="385">
        <f>'Sales Forecast Year 1'!I37*'Sales Details'!$I18+'Sales Forecast Year 1'!J37*'Sales Details'!$H18+'Sales Forecast Year 1'!K37*'Sales Details'!$G18+'Sales Forecast Year 1'!L37*'Sales Details'!F18</f>
        <v>0</v>
      </c>
      <c r="L19" s="385">
        <f>'Sales Forecast Year 1'!J37*'Sales Details'!$I18+'Sales Forecast Year 1'!K37*'Sales Details'!$H18+'Sales Forecast Year 1'!L37*'Sales Details'!$G18+'Sales Forecast Year 1'!M37*'Sales Details'!F18</f>
        <v>0</v>
      </c>
      <c r="M19" s="385">
        <f>'Sales Forecast Year 1'!K37*'Sales Details'!$I18+'Sales Forecast Year 1'!L37*'Sales Details'!$H18+'Sales Forecast Year 1'!M37*'Sales Details'!$G18+'Sales Forecast Year 1'!N37*'Sales Details'!F18</f>
        <v>0</v>
      </c>
      <c r="N19" s="385">
        <f>'Sales Forecast Year 1'!L37*'Sales Details'!$I18+'Sales Forecast Year 1'!M37*'Sales Details'!$H18+'Sales Forecast Year 1'!N37*'Sales Details'!$G18+'Sales Forecast Year 1'!O37*'Sales Details'!F18</f>
        <v>0</v>
      </c>
      <c r="O19" s="386">
        <f t="shared" si="1"/>
        <v>0</v>
      </c>
      <c r="Q19" s="387">
        <f>ROUND(IF('Sales Forecast Year 1'!$B37="Yes",C19*'Tables and Calculations'!$C$6,0),0)</f>
        <v>0</v>
      </c>
      <c r="R19" s="387">
        <f>ROUND(IF('Sales Forecast Year 1'!$B37="Yes",D19*'Tables and Calculations'!$C$6,0),0)</f>
        <v>0</v>
      </c>
      <c r="S19" s="387">
        <f>ROUND(IF('Sales Forecast Year 1'!$B37="Yes",E19*'Tables and Calculations'!$C$6,0),0)</f>
        <v>0</v>
      </c>
      <c r="T19" s="387">
        <f>ROUND(IF('Sales Forecast Year 1'!$B37="Yes",F19*'Tables and Calculations'!$C$6,0),0)</f>
        <v>0</v>
      </c>
      <c r="U19" s="387">
        <f>ROUND(IF('Sales Forecast Year 1'!$B37="Yes",G19*'Tables and Calculations'!$C$6,0),0)</f>
        <v>0</v>
      </c>
      <c r="V19" s="387">
        <f>ROUND(IF('Sales Forecast Year 1'!$B37="Yes",H19*'Tables and Calculations'!$C$6,0),0)</f>
        <v>0</v>
      </c>
      <c r="W19" s="387">
        <f>ROUND(IF('Sales Forecast Year 1'!$B37="Yes",I19*'Tables and Calculations'!$C$6,0),0)</f>
        <v>0</v>
      </c>
      <c r="X19" s="387">
        <f>ROUND(IF('Sales Forecast Year 1'!$B37="Yes",J19*'Tables and Calculations'!$C$6,0),0)</f>
        <v>0</v>
      </c>
      <c r="Y19" s="387">
        <f>ROUND(IF('Sales Forecast Year 1'!$B37="Yes",K19*'Tables and Calculations'!$C$6,0),0)</f>
        <v>0</v>
      </c>
      <c r="Z19" s="387">
        <f>ROUND(IF('Sales Forecast Year 1'!$B37="Yes",L19*'Tables and Calculations'!$C$6,0),0)</f>
        <v>0</v>
      </c>
      <c r="AA19" s="387">
        <f>ROUND(IF('Sales Forecast Year 1'!$B37="Yes",M19*'Tables and Calculations'!$C$6,0),0)</f>
        <v>0</v>
      </c>
      <c r="AB19" s="387">
        <f>ROUND(IF('Sales Forecast Year 1'!$B37="Yes",N19*'Tables and Calculations'!$C$6,0),0)</f>
        <v>0</v>
      </c>
      <c r="AC19" s="388">
        <f t="shared" si="2"/>
        <v>0</v>
      </c>
    </row>
    <row r="20" spans="1:29" ht="15">
      <c r="A20" s="383">
        <f>'Sales Details'!A19</f>
        <v>0</v>
      </c>
      <c r="B20" s="384"/>
      <c r="C20" s="385">
        <f>'Sales Forecast Year 1'!D38*'Sales Details'!F19</f>
        <v>0</v>
      </c>
      <c r="D20" s="385">
        <f>'Sales Forecast Year 1'!D38*'Sales Details'!G19+'Sales Forecast Year 1'!E38*'Sales Details'!F19</f>
        <v>0</v>
      </c>
      <c r="E20" s="385">
        <f>'Sales Forecast Year 1'!D38*'Sales Details'!H19+'Sales Forecast Year 1'!E38*'Sales Details'!G19+'Sales Forecast Year 1'!F38*'Sales Details'!F19</f>
        <v>0</v>
      </c>
      <c r="F20" s="385">
        <f>'Sales Forecast Year 1'!D38*'Sales Details'!I19+'Sales Forecast Year 1'!E38*'Sales Details'!H19+'Sales Forecast Year 1'!F38*'Sales Details'!G19+'Sales Forecast Year 1'!G38*'Sales Details'!F19</f>
        <v>0</v>
      </c>
      <c r="G20" s="385">
        <f>'Sales Forecast Year 1'!E38*'Sales Details'!$I19+'Sales Forecast Year 1'!F38*'Sales Details'!$H19+'Sales Forecast Year 1'!G38*'Sales Details'!$G19+'Sales Forecast Year 1'!H38*'Sales Details'!F19</f>
        <v>0</v>
      </c>
      <c r="H20" s="385">
        <f>'Sales Forecast Year 1'!F38*'Sales Details'!$I19+'Sales Forecast Year 1'!G38*'Sales Details'!$H19+'Sales Forecast Year 1'!H38*'Sales Details'!$G19+'Sales Forecast Year 1'!I38*'Sales Details'!F19</f>
        <v>0</v>
      </c>
      <c r="I20" s="385">
        <f>'Sales Forecast Year 1'!G38*'Sales Details'!$I19+'Sales Forecast Year 1'!H38*'Sales Details'!$H19+'Sales Forecast Year 1'!I38*'Sales Details'!$G19+'Sales Forecast Year 1'!J38*'Sales Details'!F19</f>
        <v>0</v>
      </c>
      <c r="J20" s="385">
        <f>'Sales Forecast Year 1'!H38*'Sales Details'!$I19+'Sales Forecast Year 1'!I38*'Sales Details'!$H19+'Sales Forecast Year 1'!J38*'Sales Details'!$G19+'Sales Forecast Year 1'!K38*'Sales Details'!F19</f>
        <v>0</v>
      </c>
      <c r="K20" s="385">
        <f>'Sales Forecast Year 1'!I38*'Sales Details'!$I19+'Sales Forecast Year 1'!J38*'Sales Details'!$H19+'Sales Forecast Year 1'!K38*'Sales Details'!$G19+'Sales Forecast Year 1'!L38*'Sales Details'!F19</f>
        <v>0</v>
      </c>
      <c r="L20" s="385">
        <f>'Sales Forecast Year 1'!J38*'Sales Details'!$I19+'Sales Forecast Year 1'!K38*'Sales Details'!$H19+'Sales Forecast Year 1'!L38*'Sales Details'!$G19+'Sales Forecast Year 1'!M38*'Sales Details'!F19</f>
        <v>0</v>
      </c>
      <c r="M20" s="385">
        <f>'Sales Forecast Year 1'!K38*'Sales Details'!$I19+'Sales Forecast Year 1'!L38*'Sales Details'!$H19+'Sales Forecast Year 1'!M38*'Sales Details'!$G19+'Sales Forecast Year 1'!N38*'Sales Details'!F19</f>
        <v>0</v>
      </c>
      <c r="N20" s="385">
        <f>'Sales Forecast Year 1'!L38*'Sales Details'!$I19+'Sales Forecast Year 1'!M38*'Sales Details'!$H19+'Sales Forecast Year 1'!N38*'Sales Details'!$G19+'Sales Forecast Year 1'!O38*'Sales Details'!F19</f>
        <v>0</v>
      </c>
      <c r="O20" s="386">
        <f t="shared" si="1"/>
        <v>0</v>
      </c>
      <c r="Q20" s="387">
        <f>ROUND(IF('Sales Forecast Year 1'!$B38="Yes",C20*'Tables and Calculations'!$C$6,0),0)</f>
        <v>0</v>
      </c>
      <c r="R20" s="387">
        <f>ROUND(IF('Sales Forecast Year 1'!$B38="Yes",D20*'Tables and Calculations'!$C$6,0),0)</f>
        <v>0</v>
      </c>
      <c r="S20" s="387">
        <f>ROUND(IF('Sales Forecast Year 1'!$B38="Yes",E20*'Tables and Calculations'!$C$6,0),0)</f>
        <v>0</v>
      </c>
      <c r="T20" s="387">
        <f>ROUND(IF('Sales Forecast Year 1'!$B38="Yes",F20*'Tables and Calculations'!$C$6,0),0)</f>
        <v>0</v>
      </c>
      <c r="U20" s="387">
        <f>ROUND(IF('Sales Forecast Year 1'!$B38="Yes",G20*'Tables and Calculations'!$C$6,0),0)</f>
        <v>0</v>
      </c>
      <c r="V20" s="387">
        <f>ROUND(IF('Sales Forecast Year 1'!$B38="Yes",H20*'Tables and Calculations'!$C$6,0),0)</f>
        <v>0</v>
      </c>
      <c r="W20" s="387">
        <f>ROUND(IF('Sales Forecast Year 1'!$B38="Yes",I20*'Tables and Calculations'!$C$6,0),0)</f>
        <v>0</v>
      </c>
      <c r="X20" s="387">
        <f>ROUND(IF('Sales Forecast Year 1'!$B38="Yes",J20*'Tables and Calculations'!$C$6,0),0)</f>
        <v>0</v>
      </c>
      <c r="Y20" s="387">
        <f>ROUND(IF('Sales Forecast Year 1'!$B38="Yes",K20*'Tables and Calculations'!$C$6,0),0)</f>
        <v>0</v>
      </c>
      <c r="Z20" s="387">
        <f>ROUND(IF('Sales Forecast Year 1'!$B38="Yes",L20*'Tables and Calculations'!$C$6,0),0)</f>
        <v>0</v>
      </c>
      <c r="AA20" s="387">
        <f>ROUND(IF('Sales Forecast Year 1'!$B38="Yes",M20*'Tables and Calculations'!$C$6,0),0)</f>
        <v>0</v>
      </c>
      <c r="AB20" s="387">
        <f>ROUND(IF('Sales Forecast Year 1'!$B38="Yes",N20*'Tables and Calculations'!$C$6,0),0)</f>
        <v>0</v>
      </c>
      <c r="AC20" s="388">
        <f t="shared" si="2"/>
        <v>0</v>
      </c>
    </row>
    <row r="21" spans="1:29" ht="15.75" thickBot="1">
      <c r="A21" s="383">
        <f>'Sales Details'!A20</f>
        <v>0</v>
      </c>
      <c r="B21" s="384"/>
      <c r="C21" s="385">
        <f>'Sales Forecast Year 1'!D39*'Sales Details'!F20</f>
        <v>0</v>
      </c>
      <c r="D21" s="385">
        <f>'Sales Forecast Year 1'!D39*'Sales Details'!G20+'Sales Forecast Year 1'!E39*'Sales Details'!F20</f>
        <v>0</v>
      </c>
      <c r="E21" s="385">
        <f>'Sales Forecast Year 1'!D39*'Sales Details'!H20+'Sales Forecast Year 1'!E39*'Sales Details'!G20+'Sales Forecast Year 1'!F39*'Sales Details'!F20</f>
        <v>0</v>
      </c>
      <c r="F21" s="385">
        <f>'Sales Forecast Year 1'!D39*'Sales Details'!I20+'Sales Forecast Year 1'!E39*'Sales Details'!H20+'Sales Forecast Year 1'!F39*'Sales Details'!G20+'Sales Forecast Year 1'!G39*'Sales Details'!F20</f>
        <v>0</v>
      </c>
      <c r="G21" s="385">
        <f>'Sales Forecast Year 1'!E39*'Sales Details'!$I20+'Sales Forecast Year 1'!F39*'Sales Details'!$H20+'Sales Forecast Year 1'!G39*'Sales Details'!$G20+'Sales Forecast Year 1'!H39*'Sales Details'!F20</f>
        <v>0</v>
      </c>
      <c r="H21" s="385">
        <f>'Sales Forecast Year 1'!F39*'Sales Details'!$I20+'Sales Forecast Year 1'!G39*'Sales Details'!$H20+'Sales Forecast Year 1'!H39*'Sales Details'!$G20+'Sales Forecast Year 1'!I39*'Sales Details'!F20</f>
        <v>0</v>
      </c>
      <c r="I21" s="385">
        <f>'Sales Forecast Year 1'!G39*'Sales Details'!$I20+'Sales Forecast Year 1'!H39*'Sales Details'!$H20+'Sales Forecast Year 1'!I39*'Sales Details'!$G20+'Sales Forecast Year 1'!J39*'Sales Details'!F20</f>
        <v>0</v>
      </c>
      <c r="J21" s="385">
        <f>'Sales Forecast Year 1'!H39*'Sales Details'!$I20+'Sales Forecast Year 1'!I39*'Sales Details'!$H20+'Sales Forecast Year 1'!J39*'Sales Details'!$G20+'Sales Forecast Year 1'!K39*'Sales Details'!F20</f>
        <v>0</v>
      </c>
      <c r="K21" s="385">
        <f>'Sales Forecast Year 1'!I39*'Sales Details'!$I20+'Sales Forecast Year 1'!J39*'Sales Details'!$H20+'Sales Forecast Year 1'!K39*'Sales Details'!$G20+'Sales Forecast Year 1'!L39*'Sales Details'!F20</f>
        <v>0</v>
      </c>
      <c r="L21" s="385">
        <f>'Sales Forecast Year 1'!J39*'Sales Details'!$I20+'Sales Forecast Year 1'!K39*'Sales Details'!$H20+'Sales Forecast Year 1'!L39*'Sales Details'!$G20+'Sales Forecast Year 1'!M39*'Sales Details'!F20</f>
        <v>0</v>
      </c>
      <c r="M21" s="385">
        <f>'Sales Forecast Year 1'!K39*'Sales Details'!$I20+'Sales Forecast Year 1'!L39*'Sales Details'!$H20+'Sales Forecast Year 1'!M39*'Sales Details'!$G20+'Sales Forecast Year 1'!N39*'Sales Details'!F20</f>
        <v>0</v>
      </c>
      <c r="N21" s="385">
        <f>'Sales Forecast Year 1'!L39*'Sales Details'!$I20+'Sales Forecast Year 1'!M39*'Sales Details'!$H20+'Sales Forecast Year 1'!N39*'Sales Details'!$G20+'Sales Forecast Year 1'!O39*'Sales Details'!F20</f>
        <v>0</v>
      </c>
      <c r="O21" s="386">
        <f t="shared" si="1"/>
        <v>0</v>
      </c>
      <c r="Q21" s="387">
        <f>ROUND(IF('Sales Forecast Year 1'!$B39="Yes",C21*'Tables and Calculations'!$C$6,0),0)</f>
        <v>0</v>
      </c>
      <c r="R21" s="387">
        <f>ROUND(IF('Sales Forecast Year 1'!$B39="Yes",D21*'Tables and Calculations'!$C$6,0),0)</f>
        <v>0</v>
      </c>
      <c r="S21" s="387">
        <f>ROUND(IF('Sales Forecast Year 1'!$B39="Yes",E21*'Tables and Calculations'!$C$6,0),0)</f>
        <v>0</v>
      </c>
      <c r="T21" s="387">
        <f>ROUND(IF('Sales Forecast Year 1'!$B39="Yes",F21*'Tables and Calculations'!$C$6,0),0)</f>
        <v>0</v>
      </c>
      <c r="U21" s="387">
        <f>ROUND(IF('Sales Forecast Year 1'!$B39="Yes",G21*'Tables and Calculations'!$C$6,0),0)</f>
        <v>0</v>
      </c>
      <c r="V21" s="387">
        <f>ROUND(IF('Sales Forecast Year 1'!$B39="Yes",H21*'Tables and Calculations'!$C$6,0),0)</f>
        <v>0</v>
      </c>
      <c r="W21" s="387">
        <f>ROUND(IF('Sales Forecast Year 1'!$B39="Yes",I21*'Tables and Calculations'!$C$6,0),0)</f>
        <v>0</v>
      </c>
      <c r="X21" s="387">
        <f>ROUND(IF('Sales Forecast Year 1'!$B39="Yes",J21*'Tables and Calculations'!$C$6,0),0)</f>
        <v>0</v>
      </c>
      <c r="Y21" s="387">
        <f>ROUND(IF('Sales Forecast Year 1'!$B39="Yes",K21*'Tables and Calculations'!$C$6,0),0)</f>
        <v>0</v>
      </c>
      <c r="Z21" s="387">
        <f>ROUND(IF('Sales Forecast Year 1'!$B39="Yes",L21*'Tables and Calculations'!$C$6,0),0)</f>
        <v>0</v>
      </c>
      <c r="AA21" s="387">
        <f>ROUND(IF('Sales Forecast Year 1'!$B39="Yes",M21*'Tables and Calculations'!$C$6,0),0)</f>
        <v>0</v>
      </c>
      <c r="AB21" s="387">
        <f>ROUND(IF('Sales Forecast Year 1'!$B39="Yes",N21*'Tables and Calculations'!$C$6,0),0)</f>
        <v>0</v>
      </c>
      <c r="AC21" s="388">
        <f t="shared" si="2"/>
        <v>0</v>
      </c>
    </row>
    <row r="22" spans="1:29" ht="15.75" thickBot="1">
      <c r="A22" s="375"/>
      <c r="B22" s="375"/>
      <c r="C22" s="389" t="e">
        <f>ROUND(SUM(C7:C21),0)</f>
        <v>#VALUE!</v>
      </c>
      <c r="D22" s="389" t="e">
        <f t="shared" ref="D22:N22" si="3">ROUND(SUM(D7:D21),0)</f>
        <v>#VALUE!</v>
      </c>
      <c r="E22" s="389" t="e">
        <f t="shared" si="3"/>
        <v>#VALUE!</v>
      </c>
      <c r="F22" s="389" t="e">
        <f t="shared" si="3"/>
        <v>#VALUE!</v>
      </c>
      <c r="G22" s="389" t="e">
        <f t="shared" si="3"/>
        <v>#VALUE!</v>
      </c>
      <c r="H22" s="389" t="e">
        <f t="shared" si="3"/>
        <v>#VALUE!</v>
      </c>
      <c r="I22" s="389" t="e">
        <f t="shared" si="3"/>
        <v>#VALUE!</v>
      </c>
      <c r="J22" s="389" t="e">
        <f t="shared" si="3"/>
        <v>#VALUE!</v>
      </c>
      <c r="K22" s="389" t="e">
        <f t="shared" si="3"/>
        <v>#VALUE!</v>
      </c>
      <c r="L22" s="389" t="e">
        <f t="shared" si="3"/>
        <v>#VALUE!</v>
      </c>
      <c r="M22" s="389" t="e">
        <f t="shared" si="3"/>
        <v>#VALUE!</v>
      </c>
      <c r="N22" s="389" t="e">
        <f t="shared" si="3"/>
        <v>#VALUE!</v>
      </c>
      <c r="O22" s="389" t="e">
        <f>ROUND(SUM(O7:O21),0)</f>
        <v>#VALUE!</v>
      </c>
      <c r="Q22" s="390">
        <f t="shared" ref="Q22:AC22" si="4">ROUND(SUM(Q7:Q21),0)</f>
        <v>0</v>
      </c>
      <c r="R22" s="390">
        <f t="shared" si="4"/>
        <v>0</v>
      </c>
      <c r="S22" s="390">
        <f t="shared" si="4"/>
        <v>0</v>
      </c>
      <c r="T22" s="390">
        <f t="shared" si="4"/>
        <v>0</v>
      </c>
      <c r="U22" s="390">
        <f t="shared" si="4"/>
        <v>0</v>
      </c>
      <c r="V22" s="390">
        <f t="shared" si="4"/>
        <v>0</v>
      </c>
      <c r="W22" s="390">
        <f t="shared" si="4"/>
        <v>0</v>
      </c>
      <c r="X22" s="390">
        <f t="shared" si="4"/>
        <v>0</v>
      </c>
      <c r="Y22" s="390">
        <f t="shared" si="4"/>
        <v>0</v>
      </c>
      <c r="Z22" s="390">
        <f t="shared" si="4"/>
        <v>0</v>
      </c>
      <c r="AA22" s="390">
        <f t="shared" si="4"/>
        <v>0</v>
      </c>
      <c r="AB22" s="390">
        <f t="shared" si="4"/>
        <v>0</v>
      </c>
      <c r="AC22" s="390">
        <f t="shared" si="4"/>
        <v>0</v>
      </c>
    </row>
    <row r="23" spans="1:29" ht="15">
      <c r="A23" s="391"/>
      <c r="B23" s="391"/>
      <c r="C23" s="391"/>
      <c r="D23" s="391"/>
      <c r="E23" s="391"/>
      <c r="F23" s="391"/>
      <c r="G23" s="391"/>
      <c r="H23" s="391"/>
      <c r="I23" s="391"/>
      <c r="J23" s="391"/>
      <c r="K23" s="391"/>
      <c r="L23" s="391"/>
      <c r="M23" s="391"/>
      <c r="N23" s="391"/>
      <c r="O23" s="391"/>
    </row>
    <row r="24" spans="1:29" ht="15.75" thickBot="1">
      <c r="A24" s="391"/>
      <c r="B24" s="391"/>
      <c r="C24" s="391"/>
      <c r="D24" s="391"/>
      <c r="E24" s="391"/>
      <c r="F24" s="391"/>
      <c r="G24" s="391"/>
      <c r="H24" s="391"/>
      <c r="I24" s="391"/>
      <c r="J24" s="391"/>
      <c r="K24" s="391"/>
      <c r="L24" s="391"/>
      <c r="M24" s="391"/>
      <c r="N24" s="391"/>
      <c r="O24" s="391"/>
    </row>
    <row r="25" spans="1:29" ht="24" thickBot="1">
      <c r="A25" s="765" t="s">
        <v>446</v>
      </c>
      <c r="B25" s="766"/>
      <c r="C25" s="766"/>
      <c r="D25" s="766"/>
      <c r="E25" s="766"/>
      <c r="F25" s="766"/>
      <c r="G25" s="766"/>
      <c r="H25" s="766"/>
      <c r="I25" s="766"/>
      <c r="J25" s="766"/>
      <c r="K25" s="766"/>
      <c r="L25" s="766"/>
      <c r="M25" s="766"/>
      <c r="N25" s="766"/>
      <c r="O25" s="767"/>
    </row>
    <row r="26" spans="1:29" ht="15.75" thickBot="1">
      <c r="A26" s="391"/>
      <c r="B26" s="391"/>
      <c r="C26" s="391"/>
      <c r="D26" s="391"/>
      <c r="E26" s="391"/>
      <c r="F26" s="391"/>
      <c r="G26" s="391"/>
      <c r="H26" s="391"/>
      <c r="I26" s="391"/>
      <c r="J26" s="391"/>
      <c r="K26" s="391"/>
      <c r="L26" s="391"/>
      <c r="M26" s="391"/>
      <c r="N26" s="391"/>
      <c r="O26" s="391"/>
      <c r="Q26" s="374" t="s">
        <v>444</v>
      </c>
    </row>
    <row r="27" spans="1:29" ht="16.5" thickBot="1">
      <c r="A27" s="375"/>
      <c r="B27" s="375"/>
      <c r="C27" s="376" t="str">
        <f>'Tables and Calculations'!B2</f>
        <v>Jan</v>
      </c>
      <c r="D27" s="376" t="str">
        <f>'Tables and Calculations'!C2</f>
        <v>Feb</v>
      </c>
      <c r="E27" s="376" t="str">
        <f>'Tables and Calculations'!D2</f>
        <v>Mar</v>
      </c>
      <c r="F27" s="376" t="str">
        <f>'Tables and Calculations'!E2</f>
        <v>Apr</v>
      </c>
      <c r="G27" s="376" t="str">
        <f>'Tables and Calculations'!F2</f>
        <v>May</v>
      </c>
      <c r="H27" s="376" t="str">
        <f>'Tables and Calculations'!G2</f>
        <v>Jun</v>
      </c>
      <c r="I27" s="376" t="str">
        <f>'Tables and Calculations'!H2</f>
        <v>Jul</v>
      </c>
      <c r="J27" s="376" t="str">
        <f>'Tables and Calculations'!I2</f>
        <v>Aug</v>
      </c>
      <c r="K27" s="376" t="str">
        <f>'Tables and Calculations'!J2</f>
        <v>Sep</v>
      </c>
      <c r="L27" s="376" t="str">
        <f>'Tables and Calculations'!K2</f>
        <v>Oct</v>
      </c>
      <c r="M27" s="376" t="str">
        <f>'Tables and Calculations'!L2</f>
        <v>Nov</v>
      </c>
      <c r="N27" s="376" t="str">
        <f>'Tables and Calculations'!M2</f>
        <v>Dec</v>
      </c>
      <c r="O27" s="377" t="s">
        <v>60</v>
      </c>
      <c r="Q27" s="378" t="str">
        <f t="shared" ref="Q27:AB27" si="5">C27</f>
        <v>Jan</v>
      </c>
      <c r="R27" s="378" t="str">
        <f t="shared" si="5"/>
        <v>Feb</v>
      </c>
      <c r="S27" s="378" t="str">
        <f t="shared" si="5"/>
        <v>Mar</v>
      </c>
      <c r="T27" s="378" t="str">
        <f t="shared" si="5"/>
        <v>Apr</v>
      </c>
      <c r="U27" s="378" t="str">
        <f t="shared" si="5"/>
        <v>May</v>
      </c>
      <c r="V27" s="378" t="str">
        <f t="shared" si="5"/>
        <v>Jun</v>
      </c>
      <c r="W27" s="378" t="str">
        <f t="shared" si="5"/>
        <v>Jul</v>
      </c>
      <c r="X27" s="378" t="str">
        <f t="shared" si="5"/>
        <v>Aug</v>
      </c>
      <c r="Y27" s="378" t="str">
        <f t="shared" si="5"/>
        <v>Sep</v>
      </c>
      <c r="Z27" s="378" t="str">
        <f t="shared" si="5"/>
        <v>Oct</v>
      </c>
      <c r="AA27" s="378" t="str">
        <f t="shared" si="5"/>
        <v>Nov</v>
      </c>
      <c r="AB27" s="378" t="str">
        <f t="shared" si="5"/>
        <v>Dec</v>
      </c>
      <c r="AC27" s="377" t="s">
        <v>60</v>
      </c>
    </row>
    <row r="28" spans="1:29" ht="18.75" thickBot="1">
      <c r="A28" s="379" t="s">
        <v>233</v>
      </c>
      <c r="B28" s="380" t="s">
        <v>445</v>
      </c>
      <c r="C28" s="381" t="s">
        <v>231</v>
      </c>
      <c r="D28" s="381"/>
      <c r="E28" s="381"/>
      <c r="F28" s="381"/>
      <c r="G28" s="381"/>
      <c r="H28" s="381"/>
      <c r="I28" s="381"/>
      <c r="J28" s="381"/>
      <c r="K28" s="381"/>
      <c r="L28" s="381"/>
      <c r="M28" s="381"/>
      <c r="N28" s="381"/>
      <c r="O28" s="382"/>
      <c r="Q28" s="381"/>
      <c r="R28" s="381"/>
      <c r="S28" s="381"/>
      <c r="T28" s="381"/>
      <c r="U28" s="381"/>
      <c r="V28" s="381"/>
      <c r="W28" s="381"/>
      <c r="X28" s="381"/>
      <c r="Y28" s="381"/>
      <c r="Z28" s="381"/>
      <c r="AA28" s="381"/>
      <c r="AB28" s="381"/>
      <c r="AC28" s="382"/>
    </row>
    <row r="29" spans="1:29" ht="15">
      <c r="A29" s="383" t="str">
        <f t="shared" ref="A29:A43" si="6">A7</f>
        <v>Test-category-1</v>
      </c>
      <c r="B29" s="392"/>
      <c r="C29" s="388" t="e">
        <f>'Sales Forecast Year 2'!D24*'Sales Details'!$F6+'Sales Forecast Year 1'!O25*'Sales Details'!$G6+'Sales Forecast Year 1'!N25*'Sales Details'!$H6+'Sales Forecast Year 1'!M25*'Sales Details'!I6</f>
        <v>#VALUE!</v>
      </c>
      <c r="D29" s="388" t="e">
        <f>'Sales Forecast Year 2'!E24*'Sales Details'!$F6+'Sales Forecast Year 2'!D24*'Sales Details'!$G6+'Sales Forecast Year 1'!O25*'Sales Details'!$H6+'Sales Forecast Year 1'!N25*'Sales Details'!$I6</f>
        <v>#VALUE!</v>
      </c>
      <c r="E29" s="388" t="e">
        <f>'Sales Forecast Year 2'!F24*'Sales Details'!$F6+'Sales Forecast Year 2'!E24*'Sales Details'!$G6+'Sales Forecast Year 2'!D24*'Sales Details'!$H6+'Sales Forecast Year 1'!O25*'Sales Details'!$I6</f>
        <v>#VALUE!</v>
      </c>
      <c r="F29" s="388">
        <f>'Sales Forecast Year 2'!G24*'Sales Details'!$F6+'Sales Forecast Year 2'!F24*'Sales Details'!$G6+'Sales Forecast Year 2'!E24*'Sales Details'!$H6+'Sales Forecast Year 2'!D24*'Sales Details'!$I6</f>
        <v>0</v>
      </c>
      <c r="G29" s="388">
        <f>'Sales Forecast Year 2'!H24*'Sales Details'!$F6+'Sales Forecast Year 2'!G24*'Sales Details'!$G6+'Sales Forecast Year 2'!F24*'Sales Details'!$H6+'Sales Forecast Year 2'!E24*'Sales Details'!$I6</f>
        <v>0</v>
      </c>
      <c r="H29" s="388">
        <f>'Sales Forecast Year 2'!I24*'Sales Details'!$F6+'Sales Forecast Year 2'!H24*'Sales Details'!$G6+'Sales Forecast Year 2'!G24*'Sales Details'!$H6+'Sales Forecast Year 2'!F24*'Sales Details'!$I6</f>
        <v>0</v>
      </c>
      <c r="I29" s="388">
        <f>'Sales Forecast Year 2'!J24*'Sales Details'!$F6+'Sales Forecast Year 2'!I24*'Sales Details'!$G6+'Sales Forecast Year 2'!H24*'Sales Details'!$H6+'Sales Forecast Year 2'!G24*'Sales Details'!$I6</f>
        <v>0</v>
      </c>
      <c r="J29" s="388">
        <f>'Sales Forecast Year 2'!K24*'Sales Details'!$F6+'Sales Forecast Year 2'!J24*'Sales Details'!$G6+'Sales Forecast Year 2'!I24*'Sales Details'!$H6+'Sales Forecast Year 2'!H24*'Sales Details'!$I6</f>
        <v>0</v>
      </c>
      <c r="K29" s="388">
        <f>'Sales Forecast Year 2'!L24*'Sales Details'!$F6+'Sales Forecast Year 2'!K24*'Sales Details'!$G6+'Sales Forecast Year 2'!J24*'Sales Details'!$H6+'Sales Forecast Year 2'!I24*'Sales Details'!$I6</f>
        <v>0</v>
      </c>
      <c r="L29" s="388">
        <f>'Sales Forecast Year 2'!M24*'Sales Details'!$F6+'Sales Forecast Year 2'!L24*'Sales Details'!$G6+'Sales Forecast Year 2'!K24*'Sales Details'!$H6+'Sales Forecast Year 2'!J24*'Sales Details'!$I6</f>
        <v>0</v>
      </c>
      <c r="M29" s="388">
        <f>'Sales Forecast Year 2'!N24*'Sales Details'!$F6+'Sales Forecast Year 2'!M24*'Sales Details'!$G6+'Sales Forecast Year 2'!L24*'Sales Details'!$H6+'Sales Forecast Year 2'!K24*'Sales Details'!$I6</f>
        <v>0</v>
      </c>
      <c r="N29" s="388">
        <f>'Sales Forecast Year 2'!O24*'Sales Details'!$F6+'Sales Forecast Year 2'!N24*'Sales Details'!$G6+'Sales Forecast Year 2'!M24*'Sales Details'!$H6+'Sales Forecast Year 2'!L24*'Sales Details'!$I6</f>
        <v>0</v>
      </c>
      <c r="O29" s="388" t="e">
        <f>ROUND(SUM(C29:N29),0)</f>
        <v>#VALUE!</v>
      </c>
      <c r="Q29" s="387">
        <f>ROUND(IF('Sales Forecast Year 2'!$B24="Yes",C29*'Tables and Calculations'!$C$10,0),0)</f>
        <v>0</v>
      </c>
      <c r="R29" s="387">
        <f>ROUND(IF('Sales Forecast Year 2'!$B24="Yes",D29*'Tables and Calculations'!$C$10,0),0)</f>
        <v>0</v>
      </c>
      <c r="S29" s="387">
        <f>ROUND(IF('Sales Forecast Year 2'!$B24="Yes",E29*'Tables and Calculations'!$C$10,0),0)</f>
        <v>0</v>
      </c>
      <c r="T29" s="387">
        <f>ROUND(IF('Sales Forecast Year 2'!$B24="Yes",F29*'Tables and Calculations'!$C$10,0),0)</f>
        <v>0</v>
      </c>
      <c r="U29" s="387">
        <f>ROUND(IF('Sales Forecast Year 2'!$B24="Yes",G29*'Tables and Calculations'!$C$10,0),0)</f>
        <v>0</v>
      </c>
      <c r="V29" s="387">
        <f>ROUND(IF('Sales Forecast Year 2'!$B24="Yes",H29*'Tables and Calculations'!$C$10,0),0)</f>
        <v>0</v>
      </c>
      <c r="W29" s="387">
        <f>ROUND(IF('Sales Forecast Year 2'!$B24="Yes",I29*'Tables and Calculations'!$C$10,0),0)</f>
        <v>0</v>
      </c>
      <c r="X29" s="387">
        <f>ROUND(IF('Sales Forecast Year 2'!$B24="Yes",J29*'Tables and Calculations'!$C$10,0),0)</f>
        <v>0</v>
      </c>
      <c r="Y29" s="387">
        <f>ROUND(IF('Sales Forecast Year 2'!$B24="Yes",K29*'Tables and Calculations'!$C$10,0),0)</f>
        <v>0</v>
      </c>
      <c r="Z29" s="387">
        <f>ROUND(IF('Sales Forecast Year 2'!$B24="Yes",L29*'Tables and Calculations'!$C$10,0),0)</f>
        <v>0</v>
      </c>
      <c r="AA29" s="387">
        <f>ROUND(IF('Sales Forecast Year 2'!$B24="Yes",M29*'Tables and Calculations'!$C$10,0),0)</f>
        <v>0</v>
      </c>
      <c r="AB29" s="387">
        <f>ROUND(IF('Sales Forecast Year 2'!$B24="Yes",N29*'Tables and Calculations'!$C$10,0),0)</f>
        <v>0</v>
      </c>
      <c r="AC29" s="388">
        <f>ROUND(SUM(Q29:AB29),0)</f>
        <v>0</v>
      </c>
    </row>
    <row r="30" spans="1:29" ht="15">
      <c r="A30" s="383" t="str">
        <f t="shared" si="6"/>
        <v>Test-category-2</v>
      </c>
      <c r="B30" s="392"/>
      <c r="C30" s="388" t="e">
        <f>'Sales Forecast Year 2'!D25*'Sales Details'!$F7+'Sales Forecast Year 1'!O26*'Sales Details'!$G7+'Sales Forecast Year 1'!N26*'Sales Details'!$H7+'Sales Forecast Year 1'!M26*'Sales Details'!I7</f>
        <v>#VALUE!</v>
      </c>
      <c r="D30" s="388" t="e">
        <f>'Sales Forecast Year 2'!E25*'Sales Details'!$F7+'Sales Forecast Year 2'!D25*'Sales Details'!$G7+'Sales Forecast Year 1'!O26*'Sales Details'!$H7+'Sales Forecast Year 1'!N26*'Sales Details'!$I7</f>
        <v>#VALUE!</v>
      </c>
      <c r="E30" s="388" t="e">
        <f>'Sales Forecast Year 2'!F25*'Sales Details'!$F7+'Sales Forecast Year 2'!E25*'Sales Details'!$G7+'Sales Forecast Year 2'!D25*'Sales Details'!$H7+'Sales Forecast Year 1'!O26*'Sales Details'!$I7</f>
        <v>#VALUE!</v>
      </c>
      <c r="F30" s="388" t="e">
        <f>'Sales Forecast Year 2'!G25*'Sales Details'!$F7+'Sales Forecast Year 2'!F25*'Sales Details'!$G7+'Sales Forecast Year 2'!E25*'Sales Details'!$H7+'Sales Forecast Year 2'!D25*'Sales Details'!$I7</f>
        <v>#VALUE!</v>
      </c>
      <c r="G30" s="388" t="e">
        <f>'Sales Forecast Year 2'!H25*'Sales Details'!$F7+'Sales Forecast Year 2'!G25*'Sales Details'!$G7+'Sales Forecast Year 2'!F25*'Sales Details'!$H7+'Sales Forecast Year 2'!E25*'Sales Details'!$I7</f>
        <v>#VALUE!</v>
      </c>
      <c r="H30" s="388" t="e">
        <f>'Sales Forecast Year 2'!I25*'Sales Details'!$F7+'Sales Forecast Year 2'!H25*'Sales Details'!$G7+'Sales Forecast Year 2'!G25*'Sales Details'!$H7+'Sales Forecast Year 2'!F25*'Sales Details'!$I7</f>
        <v>#VALUE!</v>
      </c>
      <c r="I30" s="388" t="e">
        <f>'Sales Forecast Year 2'!J25*'Sales Details'!$F7+'Sales Forecast Year 2'!I25*'Sales Details'!$G7+'Sales Forecast Year 2'!H25*'Sales Details'!$H7+'Sales Forecast Year 2'!G25*'Sales Details'!$I7</f>
        <v>#VALUE!</v>
      </c>
      <c r="J30" s="388" t="e">
        <f>'Sales Forecast Year 2'!K25*'Sales Details'!$F7+'Sales Forecast Year 2'!J25*'Sales Details'!$G7+'Sales Forecast Year 2'!I25*'Sales Details'!$H7+'Sales Forecast Year 2'!H25*'Sales Details'!$I7</f>
        <v>#VALUE!</v>
      </c>
      <c r="K30" s="388" t="e">
        <f>'Sales Forecast Year 2'!L25*'Sales Details'!$F7+'Sales Forecast Year 2'!K25*'Sales Details'!$G7+'Sales Forecast Year 2'!J25*'Sales Details'!$H7+'Sales Forecast Year 2'!I25*'Sales Details'!$I7</f>
        <v>#VALUE!</v>
      </c>
      <c r="L30" s="388" t="e">
        <f>'Sales Forecast Year 2'!M25*'Sales Details'!$F7+'Sales Forecast Year 2'!L25*'Sales Details'!$G7+'Sales Forecast Year 2'!K25*'Sales Details'!$H7+'Sales Forecast Year 2'!J25*'Sales Details'!$I7</f>
        <v>#VALUE!</v>
      </c>
      <c r="M30" s="388" t="e">
        <f>'Sales Forecast Year 2'!N25*'Sales Details'!$F7+'Sales Forecast Year 2'!M25*'Sales Details'!$G7+'Sales Forecast Year 2'!L25*'Sales Details'!$H7+'Sales Forecast Year 2'!K25*'Sales Details'!$I7</f>
        <v>#VALUE!</v>
      </c>
      <c r="N30" s="388" t="e">
        <f>'Sales Forecast Year 2'!O25*'Sales Details'!$F7+'Sales Forecast Year 2'!N25*'Sales Details'!$G7+'Sales Forecast Year 2'!M25*'Sales Details'!$H7+'Sales Forecast Year 2'!L25*'Sales Details'!$I7</f>
        <v>#VALUE!</v>
      </c>
      <c r="O30" s="388" t="e">
        <f t="shared" ref="O30:O43" si="7">ROUND(SUM(C30:N30),0)</f>
        <v>#VALUE!</v>
      </c>
      <c r="Q30" s="387">
        <f>ROUND(IF('Sales Forecast Year 2'!$B25="Yes",C30*'Tables and Calculations'!$C$10,0),0)</f>
        <v>0</v>
      </c>
      <c r="R30" s="387">
        <f>ROUND(IF('Sales Forecast Year 2'!$B25="Yes",D30*'Tables and Calculations'!$C$10,0),0)</f>
        <v>0</v>
      </c>
      <c r="S30" s="387">
        <f>ROUND(IF('Sales Forecast Year 2'!$B25="Yes",E30*'Tables and Calculations'!$C$10,0),0)</f>
        <v>0</v>
      </c>
      <c r="T30" s="387">
        <f>ROUND(IF('Sales Forecast Year 2'!$B25="Yes",F30*'Tables and Calculations'!$C$10,0),0)</f>
        <v>0</v>
      </c>
      <c r="U30" s="387">
        <f>ROUND(IF('Sales Forecast Year 2'!$B25="Yes",G30*'Tables and Calculations'!$C$10,0),0)</f>
        <v>0</v>
      </c>
      <c r="V30" s="387">
        <f>ROUND(IF('Sales Forecast Year 2'!$B25="Yes",H30*'Tables and Calculations'!$C$10,0),0)</f>
        <v>0</v>
      </c>
      <c r="W30" s="387">
        <f>ROUND(IF('Sales Forecast Year 2'!$B25="Yes",I30*'Tables and Calculations'!$C$10,0),0)</f>
        <v>0</v>
      </c>
      <c r="X30" s="387">
        <f>ROUND(IF('Sales Forecast Year 2'!$B25="Yes",J30*'Tables and Calculations'!$C$10,0),0)</f>
        <v>0</v>
      </c>
      <c r="Y30" s="387">
        <f>ROUND(IF('Sales Forecast Year 2'!$B25="Yes",K30*'Tables and Calculations'!$C$10,0),0)</f>
        <v>0</v>
      </c>
      <c r="Z30" s="387">
        <f>ROUND(IF('Sales Forecast Year 2'!$B25="Yes",L30*'Tables and Calculations'!$C$10,0),0)</f>
        <v>0</v>
      </c>
      <c r="AA30" s="387">
        <f>ROUND(IF('Sales Forecast Year 2'!$B25="Yes",M30*'Tables and Calculations'!$C$10,0),0)</f>
        <v>0</v>
      </c>
      <c r="AB30" s="387">
        <f>ROUND(IF('Sales Forecast Year 2'!$B25="Yes",N30*'Tables and Calculations'!$C$10,0),0)</f>
        <v>0</v>
      </c>
      <c r="AC30" s="388">
        <f t="shared" ref="AC30:AC36" si="8">ROUND(SUM(Q30:AB30),0)</f>
        <v>0</v>
      </c>
    </row>
    <row r="31" spans="1:29" ht="15">
      <c r="A31" s="383" t="str">
        <f t="shared" si="6"/>
        <v>Test-category-3</v>
      </c>
      <c r="B31" s="392"/>
      <c r="C31" s="388">
        <f>'Sales Forecast Year 2'!D26*'Sales Details'!$F8+'Sales Forecast Year 1'!O27*'Sales Details'!$G8+'Sales Forecast Year 1'!N27*'Sales Details'!$H8+'Sales Forecast Year 1'!M27*'Sales Details'!I8</f>
        <v>0</v>
      </c>
      <c r="D31" s="388">
        <f>'Sales Forecast Year 2'!E26*'Sales Details'!$F8+'Sales Forecast Year 2'!D26*'Sales Details'!$G8+'Sales Forecast Year 1'!O27*'Sales Details'!$H8+'Sales Forecast Year 1'!N27*'Sales Details'!$I8</f>
        <v>0</v>
      </c>
      <c r="E31" s="388">
        <f>'Sales Forecast Year 2'!F26*'Sales Details'!$F8+'Sales Forecast Year 2'!E26*'Sales Details'!$G8+'Sales Forecast Year 2'!D26*'Sales Details'!$H8+'Sales Forecast Year 1'!O27*'Sales Details'!$I8</f>
        <v>0</v>
      </c>
      <c r="F31" s="388">
        <f>'Sales Forecast Year 2'!G26*'Sales Details'!$F8+'Sales Forecast Year 2'!F26*'Sales Details'!$G8+'Sales Forecast Year 2'!E26*'Sales Details'!$H8+'Sales Forecast Year 2'!D26*'Sales Details'!$I8</f>
        <v>0</v>
      </c>
      <c r="G31" s="388">
        <f>'Sales Forecast Year 2'!H26*'Sales Details'!$F8+'Sales Forecast Year 2'!G26*'Sales Details'!$G8+'Sales Forecast Year 2'!F26*'Sales Details'!$H8+'Sales Forecast Year 2'!E26*'Sales Details'!$I8</f>
        <v>0</v>
      </c>
      <c r="H31" s="388">
        <f>'Sales Forecast Year 2'!I26*'Sales Details'!$F8+'Sales Forecast Year 2'!H26*'Sales Details'!$G8+'Sales Forecast Year 2'!G26*'Sales Details'!$H8+'Sales Forecast Year 2'!F26*'Sales Details'!$I8</f>
        <v>0</v>
      </c>
      <c r="I31" s="388">
        <f>'Sales Forecast Year 2'!J26*'Sales Details'!$F8+'Sales Forecast Year 2'!I26*'Sales Details'!$G8+'Sales Forecast Year 2'!H26*'Sales Details'!$H8+'Sales Forecast Year 2'!G26*'Sales Details'!$I8</f>
        <v>0</v>
      </c>
      <c r="J31" s="388">
        <f>'Sales Forecast Year 2'!K26*'Sales Details'!$F8+'Sales Forecast Year 2'!J26*'Sales Details'!$G8+'Sales Forecast Year 2'!I26*'Sales Details'!$H8+'Sales Forecast Year 2'!H26*'Sales Details'!$I8</f>
        <v>0</v>
      </c>
      <c r="K31" s="388">
        <f>'Sales Forecast Year 2'!L26*'Sales Details'!$F8+'Sales Forecast Year 2'!K26*'Sales Details'!$G8+'Sales Forecast Year 2'!J26*'Sales Details'!$H8+'Sales Forecast Year 2'!I26*'Sales Details'!$I8</f>
        <v>0</v>
      </c>
      <c r="L31" s="388">
        <f>'Sales Forecast Year 2'!M26*'Sales Details'!$F8+'Sales Forecast Year 2'!L26*'Sales Details'!$G8+'Sales Forecast Year 2'!K26*'Sales Details'!$H8+'Sales Forecast Year 2'!J26*'Sales Details'!$I8</f>
        <v>0</v>
      </c>
      <c r="M31" s="388">
        <f>'Sales Forecast Year 2'!N26*'Sales Details'!$F8+'Sales Forecast Year 2'!M26*'Sales Details'!$G8+'Sales Forecast Year 2'!L26*'Sales Details'!$H8+'Sales Forecast Year 2'!K26*'Sales Details'!$I8</f>
        <v>0</v>
      </c>
      <c r="N31" s="388">
        <f>'Sales Forecast Year 2'!O26*'Sales Details'!$F8+'Sales Forecast Year 2'!N26*'Sales Details'!$G8+'Sales Forecast Year 2'!M26*'Sales Details'!$H8+'Sales Forecast Year 2'!L26*'Sales Details'!$I8</f>
        <v>0</v>
      </c>
      <c r="O31" s="388">
        <f t="shared" si="7"/>
        <v>0</v>
      </c>
      <c r="Q31" s="387">
        <f>ROUND(IF('Sales Forecast Year 2'!$B26="Yes",C31*'Tables and Calculations'!$C$10,0),0)</f>
        <v>0</v>
      </c>
      <c r="R31" s="387">
        <f>ROUND(IF('Sales Forecast Year 2'!$B26="Yes",D31*'Tables and Calculations'!$C$10,0),0)</f>
        <v>0</v>
      </c>
      <c r="S31" s="387">
        <f>ROUND(IF('Sales Forecast Year 2'!$B26="Yes",E31*'Tables and Calculations'!$C$10,0),0)</f>
        <v>0</v>
      </c>
      <c r="T31" s="387">
        <f>ROUND(IF('Sales Forecast Year 2'!$B26="Yes",F31*'Tables and Calculations'!$C$10,0),0)</f>
        <v>0</v>
      </c>
      <c r="U31" s="387">
        <f>ROUND(IF('Sales Forecast Year 2'!$B26="Yes",G31*'Tables and Calculations'!$C$10,0),0)</f>
        <v>0</v>
      </c>
      <c r="V31" s="387">
        <f>ROUND(IF('Sales Forecast Year 2'!$B26="Yes",H31*'Tables and Calculations'!$C$10,0),0)</f>
        <v>0</v>
      </c>
      <c r="W31" s="387">
        <f>ROUND(IF('Sales Forecast Year 2'!$B26="Yes",I31*'Tables and Calculations'!$C$10,0),0)</f>
        <v>0</v>
      </c>
      <c r="X31" s="387">
        <f>ROUND(IF('Sales Forecast Year 2'!$B26="Yes",J31*'Tables and Calculations'!$C$10,0),0)</f>
        <v>0</v>
      </c>
      <c r="Y31" s="387">
        <f>ROUND(IF('Sales Forecast Year 2'!$B26="Yes",K31*'Tables and Calculations'!$C$10,0),0)</f>
        <v>0</v>
      </c>
      <c r="Z31" s="387">
        <f>ROUND(IF('Sales Forecast Year 2'!$B26="Yes",L31*'Tables and Calculations'!$C$10,0),0)</f>
        <v>0</v>
      </c>
      <c r="AA31" s="387">
        <f>ROUND(IF('Sales Forecast Year 2'!$B26="Yes",M31*'Tables and Calculations'!$C$10,0),0)</f>
        <v>0</v>
      </c>
      <c r="AB31" s="387">
        <f>ROUND(IF('Sales Forecast Year 2'!$B26="Yes",N31*'Tables and Calculations'!$C$10,0),0)</f>
        <v>0</v>
      </c>
      <c r="AC31" s="388">
        <f t="shared" si="8"/>
        <v>0</v>
      </c>
    </row>
    <row r="32" spans="1:29" ht="15">
      <c r="A32" s="383">
        <f t="shared" si="6"/>
        <v>0</v>
      </c>
      <c r="B32" s="392"/>
      <c r="C32" s="388">
        <f>'Sales Forecast Year 2'!D27*'Sales Details'!$F9+'Sales Forecast Year 1'!O28*'Sales Details'!$G9+'Sales Forecast Year 1'!N28*'Sales Details'!$H9+'Sales Forecast Year 1'!M28*'Sales Details'!I9</f>
        <v>0</v>
      </c>
      <c r="D32" s="388">
        <f>'Sales Forecast Year 2'!E27*'Sales Details'!$F9+'Sales Forecast Year 2'!D27*'Sales Details'!$G9+'Sales Forecast Year 1'!O28*'Sales Details'!$H9+'Sales Forecast Year 1'!N28*'Sales Details'!$I9</f>
        <v>0</v>
      </c>
      <c r="E32" s="388">
        <f>'Sales Forecast Year 2'!F27*'Sales Details'!$F9+'Sales Forecast Year 2'!E27*'Sales Details'!$G9+'Sales Forecast Year 2'!D27*'Sales Details'!$H9+'Sales Forecast Year 1'!O28*'Sales Details'!$I9</f>
        <v>0</v>
      </c>
      <c r="F32" s="388">
        <f>'Sales Forecast Year 2'!G27*'Sales Details'!$F9+'Sales Forecast Year 2'!F27*'Sales Details'!$G9+'Sales Forecast Year 2'!E27*'Sales Details'!$H9+'Sales Forecast Year 2'!D27*'Sales Details'!$I9</f>
        <v>0</v>
      </c>
      <c r="G32" s="388">
        <f>'Sales Forecast Year 2'!H27*'Sales Details'!$F9+'Sales Forecast Year 2'!G27*'Sales Details'!$G9+'Sales Forecast Year 2'!F27*'Sales Details'!$H9+'Sales Forecast Year 2'!E27*'Sales Details'!$I9</f>
        <v>0</v>
      </c>
      <c r="H32" s="388">
        <f>'Sales Forecast Year 2'!I27*'Sales Details'!$F9+'Sales Forecast Year 2'!H27*'Sales Details'!$G9+'Sales Forecast Year 2'!G27*'Sales Details'!$H9+'Sales Forecast Year 2'!F27*'Sales Details'!$I9</f>
        <v>0</v>
      </c>
      <c r="I32" s="388">
        <f>'Sales Forecast Year 2'!J27*'Sales Details'!$F9+'Sales Forecast Year 2'!I27*'Sales Details'!$G9+'Sales Forecast Year 2'!H27*'Sales Details'!$H9+'Sales Forecast Year 2'!G27*'Sales Details'!$I9</f>
        <v>0</v>
      </c>
      <c r="J32" s="388">
        <f>'Sales Forecast Year 2'!K27*'Sales Details'!$F9+'Sales Forecast Year 2'!J27*'Sales Details'!$G9+'Sales Forecast Year 2'!I27*'Sales Details'!$H9+'Sales Forecast Year 2'!H27*'Sales Details'!$I9</f>
        <v>0</v>
      </c>
      <c r="K32" s="388">
        <f>'Sales Forecast Year 2'!L27*'Sales Details'!$F9+'Sales Forecast Year 2'!K27*'Sales Details'!$G9+'Sales Forecast Year 2'!J27*'Sales Details'!$H9+'Sales Forecast Year 2'!I27*'Sales Details'!$I9</f>
        <v>0</v>
      </c>
      <c r="L32" s="388">
        <f>'Sales Forecast Year 2'!M27*'Sales Details'!$F9+'Sales Forecast Year 2'!L27*'Sales Details'!$G9+'Sales Forecast Year 2'!K27*'Sales Details'!$H9+'Sales Forecast Year 2'!J27*'Sales Details'!$I9</f>
        <v>0</v>
      </c>
      <c r="M32" s="388">
        <f>'Sales Forecast Year 2'!N27*'Sales Details'!$F9+'Sales Forecast Year 2'!M27*'Sales Details'!$G9+'Sales Forecast Year 2'!L27*'Sales Details'!$H9+'Sales Forecast Year 2'!K27*'Sales Details'!$I9</f>
        <v>0</v>
      </c>
      <c r="N32" s="388">
        <f>'Sales Forecast Year 2'!O27*'Sales Details'!$F9+'Sales Forecast Year 2'!N27*'Sales Details'!$G9+'Sales Forecast Year 2'!M27*'Sales Details'!$H9+'Sales Forecast Year 2'!L27*'Sales Details'!$I9</f>
        <v>0</v>
      </c>
      <c r="O32" s="388">
        <f t="shared" si="7"/>
        <v>0</v>
      </c>
      <c r="Q32" s="387">
        <f>ROUND(IF('Sales Forecast Year 2'!$B27="Yes",C32*'Tables and Calculations'!$C$10,0),0)</f>
        <v>0</v>
      </c>
      <c r="R32" s="387">
        <f>ROUND(IF('Sales Forecast Year 2'!$B27="Yes",D32*'Tables and Calculations'!$C$10,0),0)</f>
        <v>0</v>
      </c>
      <c r="S32" s="387">
        <f>ROUND(IF('Sales Forecast Year 2'!$B27="Yes",E32*'Tables and Calculations'!$C$10,0),0)</f>
        <v>0</v>
      </c>
      <c r="T32" s="387">
        <f>ROUND(IF('Sales Forecast Year 2'!$B27="Yes",F32*'Tables and Calculations'!$C$10,0),0)</f>
        <v>0</v>
      </c>
      <c r="U32" s="387">
        <f>ROUND(IF('Sales Forecast Year 2'!$B27="Yes",G32*'Tables and Calculations'!$C$10,0),0)</f>
        <v>0</v>
      </c>
      <c r="V32" s="387">
        <f>ROUND(IF('Sales Forecast Year 2'!$B27="Yes",H32*'Tables and Calculations'!$C$10,0),0)</f>
        <v>0</v>
      </c>
      <c r="W32" s="387">
        <f>ROUND(IF('Sales Forecast Year 2'!$B27="Yes",I32*'Tables and Calculations'!$C$10,0),0)</f>
        <v>0</v>
      </c>
      <c r="X32" s="387">
        <f>ROUND(IF('Sales Forecast Year 2'!$B27="Yes",J32*'Tables and Calculations'!$C$10,0),0)</f>
        <v>0</v>
      </c>
      <c r="Y32" s="387">
        <f>ROUND(IF('Sales Forecast Year 2'!$B27="Yes",K32*'Tables and Calculations'!$C$10,0),0)</f>
        <v>0</v>
      </c>
      <c r="Z32" s="387">
        <f>ROUND(IF('Sales Forecast Year 2'!$B27="Yes",L32*'Tables and Calculations'!$C$10,0),0)</f>
        <v>0</v>
      </c>
      <c r="AA32" s="387">
        <f>ROUND(IF('Sales Forecast Year 2'!$B27="Yes",M32*'Tables and Calculations'!$C$10,0),0)</f>
        <v>0</v>
      </c>
      <c r="AB32" s="387">
        <f>ROUND(IF('Sales Forecast Year 2'!$B27="Yes",N32*'Tables and Calculations'!$C$10,0),0)</f>
        <v>0</v>
      </c>
      <c r="AC32" s="388">
        <f t="shared" si="8"/>
        <v>0</v>
      </c>
    </row>
    <row r="33" spans="1:29" ht="15">
      <c r="A33" s="383">
        <f t="shared" si="6"/>
        <v>0</v>
      </c>
      <c r="B33" s="392"/>
      <c r="C33" s="388">
        <f>'Sales Forecast Year 2'!D28*'Sales Details'!$F10+'Sales Forecast Year 1'!O29*'Sales Details'!$G10+'Sales Forecast Year 1'!N29*'Sales Details'!$H10+'Sales Forecast Year 1'!M29*'Sales Details'!I10</f>
        <v>0</v>
      </c>
      <c r="D33" s="388">
        <f>'Sales Forecast Year 2'!E28*'Sales Details'!$F10+'Sales Forecast Year 2'!D28*'Sales Details'!$G10+'Sales Forecast Year 1'!O29*'Sales Details'!$H10+'Sales Forecast Year 1'!N29*'Sales Details'!$I10</f>
        <v>0</v>
      </c>
      <c r="E33" s="388">
        <f>'Sales Forecast Year 2'!F28*'Sales Details'!$F10+'Sales Forecast Year 2'!E28*'Sales Details'!$G10+'Sales Forecast Year 2'!D28*'Sales Details'!$H10+'Sales Forecast Year 1'!O29*'Sales Details'!$I10</f>
        <v>0</v>
      </c>
      <c r="F33" s="388">
        <f>'Sales Forecast Year 2'!G28*'Sales Details'!$F10+'Sales Forecast Year 2'!F28*'Sales Details'!$G10+'Sales Forecast Year 2'!E28*'Sales Details'!$H10+'Sales Forecast Year 2'!D28*'Sales Details'!$I10</f>
        <v>0</v>
      </c>
      <c r="G33" s="388">
        <f>'Sales Forecast Year 2'!H28*'Sales Details'!$F10+'Sales Forecast Year 2'!G28*'Sales Details'!$G10+'Sales Forecast Year 2'!F28*'Sales Details'!$H10+'Sales Forecast Year 2'!E28*'Sales Details'!$I10</f>
        <v>0</v>
      </c>
      <c r="H33" s="388">
        <f>'Sales Forecast Year 2'!I28*'Sales Details'!$F10+'Sales Forecast Year 2'!H28*'Sales Details'!$G10+'Sales Forecast Year 2'!G28*'Sales Details'!$H10+'Sales Forecast Year 2'!F28*'Sales Details'!$I10</f>
        <v>0</v>
      </c>
      <c r="I33" s="388">
        <f>'Sales Forecast Year 2'!J28*'Sales Details'!$F10+'Sales Forecast Year 2'!I28*'Sales Details'!$G10+'Sales Forecast Year 2'!H28*'Sales Details'!$H10+'Sales Forecast Year 2'!G28*'Sales Details'!$I10</f>
        <v>0</v>
      </c>
      <c r="J33" s="388">
        <f>'Sales Forecast Year 2'!K28*'Sales Details'!$F10+'Sales Forecast Year 2'!J28*'Sales Details'!$G10+'Sales Forecast Year 2'!I28*'Sales Details'!$H10+'Sales Forecast Year 2'!H28*'Sales Details'!$I10</f>
        <v>0</v>
      </c>
      <c r="K33" s="388">
        <f>'Sales Forecast Year 2'!L28*'Sales Details'!$F10+'Sales Forecast Year 2'!K28*'Sales Details'!$G10+'Sales Forecast Year 2'!J28*'Sales Details'!$H10+'Sales Forecast Year 2'!I28*'Sales Details'!$I10</f>
        <v>0</v>
      </c>
      <c r="L33" s="388">
        <f>'Sales Forecast Year 2'!M28*'Sales Details'!$F10+'Sales Forecast Year 2'!L28*'Sales Details'!$G10+'Sales Forecast Year 2'!K28*'Sales Details'!$H10+'Sales Forecast Year 2'!J28*'Sales Details'!$I10</f>
        <v>0</v>
      </c>
      <c r="M33" s="388">
        <f>'Sales Forecast Year 2'!N28*'Sales Details'!$F10+'Sales Forecast Year 2'!M28*'Sales Details'!$G10+'Sales Forecast Year 2'!L28*'Sales Details'!$H10+'Sales Forecast Year 2'!K28*'Sales Details'!$I10</f>
        <v>0</v>
      </c>
      <c r="N33" s="388">
        <f>'Sales Forecast Year 2'!O28*'Sales Details'!$F10+'Sales Forecast Year 2'!N28*'Sales Details'!$G10+'Sales Forecast Year 2'!M28*'Sales Details'!$H10+'Sales Forecast Year 2'!L28*'Sales Details'!$I10</f>
        <v>0</v>
      </c>
      <c r="O33" s="388">
        <f t="shared" si="7"/>
        <v>0</v>
      </c>
      <c r="Q33" s="387">
        <f>ROUND(IF('Sales Forecast Year 2'!$B28="Yes",C33*'Tables and Calculations'!$C$10,0),0)</f>
        <v>0</v>
      </c>
      <c r="R33" s="387">
        <f>ROUND(IF('Sales Forecast Year 2'!$B28="Yes",D33*'Tables and Calculations'!$C$10,0),0)</f>
        <v>0</v>
      </c>
      <c r="S33" s="387">
        <f>ROUND(IF('Sales Forecast Year 2'!$B28="Yes",E33*'Tables and Calculations'!$C$10,0),0)</f>
        <v>0</v>
      </c>
      <c r="T33" s="387">
        <f>ROUND(IF('Sales Forecast Year 2'!$B28="Yes",F33*'Tables and Calculations'!$C$10,0),0)</f>
        <v>0</v>
      </c>
      <c r="U33" s="387">
        <f>ROUND(IF('Sales Forecast Year 2'!$B28="Yes",G33*'Tables and Calculations'!$C$10,0),0)</f>
        <v>0</v>
      </c>
      <c r="V33" s="387">
        <f>ROUND(IF('Sales Forecast Year 2'!$B28="Yes",H33*'Tables and Calculations'!$C$10,0),0)</f>
        <v>0</v>
      </c>
      <c r="W33" s="387">
        <f>ROUND(IF('Sales Forecast Year 2'!$B28="Yes",I33*'Tables and Calculations'!$C$10,0),0)</f>
        <v>0</v>
      </c>
      <c r="X33" s="387">
        <f>ROUND(IF('Sales Forecast Year 2'!$B28="Yes",J33*'Tables and Calculations'!$C$10,0),0)</f>
        <v>0</v>
      </c>
      <c r="Y33" s="387">
        <f>ROUND(IF('Sales Forecast Year 2'!$B28="Yes",K33*'Tables and Calculations'!$C$10,0),0)</f>
        <v>0</v>
      </c>
      <c r="Z33" s="387">
        <f>ROUND(IF('Sales Forecast Year 2'!$B28="Yes",L33*'Tables and Calculations'!$C$10,0),0)</f>
        <v>0</v>
      </c>
      <c r="AA33" s="387">
        <f>ROUND(IF('Sales Forecast Year 2'!$B28="Yes",M33*'Tables and Calculations'!$C$10,0),0)</f>
        <v>0</v>
      </c>
      <c r="AB33" s="387">
        <f>ROUND(IF('Sales Forecast Year 2'!$B28="Yes",N33*'Tables and Calculations'!$C$10,0),0)</f>
        <v>0</v>
      </c>
      <c r="AC33" s="388">
        <f t="shared" si="8"/>
        <v>0</v>
      </c>
    </row>
    <row r="34" spans="1:29" ht="15">
      <c r="A34" s="383">
        <f t="shared" si="6"/>
        <v>0</v>
      </c>
      <c r="B34" s="392"/>
      <c r="C34" s="388">
        <f>'Sales Forecast Year 2'!D29*'Sales Details'!$F11+'Sales Forecast Year 1'!O30*'Sales Details'!$G11+'Sales Forecast Year 1'!N30*'Sales Details'!$H11+'Sales Forecast Year 1'!M30*'Sales Details'!I11</f>
        <v>0</v>
      </c>
      <c r="D34" s="388">
        <f>'Sales Forecast Year 2'!E29*'Sales Details'!$F11+'Sales Forecast Year 2'!D29*'Sales Details'!$G11+'Sales Forecast Year 1'!O30*'Sales Details'!$H11+'Sales Forecast Year 1'!N30*'Sales Details'!$I11</f>
        <v>0</v>
      </c>
      <c r="E34" s="388">
        <f>'Sales Forecast Year 2'!F29*'Sales Details'!$F11+'Sales Forecast Year 2'!E29*'Sales Details'!$G11+'Sales Forecast Year 2'!D29*'Sales Details'!$H11+'Sales Forecast Year 1'!O30*'Sales Details'!$I11</f>
        <v>0</v>
      </c>
      <c r="F34" s="388">
        <f>'Sales Forecast Year 2'!G29*'Sales Details'!$F11+'Sales Forecast Year 2'!F29*'Sales Details'!$G11+'Sales Forecast Year 2'!E29*'Sales Details'!$H11+'Sales Forecast Year 2'!D29*'Sales Details'!$I11</f>
        <v>0</v>
      </c>
      <c r="G34" s="388">
        <f>'Sales Forecast Year 2'!H29*'Sales Details'!$F11+'Sales Forecast Year 2'!G29*'Sales Details'!$G11+'Sales Forecast Year 2'!F29*'Sales Details'!$H11+'Sales Forecast Year 2'!E29*'Sales Details'!$I11</f>
        <v>0</v>
      </c>
      <c r="H34" s="388">
        <f>'Sales Forecast Year 2'!I29*'Sales Details'!$F11+'Sales Forecast Year 2'!H29*'Sales Details'!$G11+'Sales Forecast Year 2'!G29*'Sales Details'!$H11+'Sales Forecast Year 2'!F29*'Sales Details'!$I11</f>
        <v>0</v>
      </c>
      <c r="I34" s="388">
        <f>'Sales Forecast Year 2'!J29*'Sales Details'!$F11+'Sales Forecast Year 2'!I29*'Sales Details'!$G11+'Sales Forecast Year 2'!H29*'Sales Details'!$H11+'Sales Forecast Year 2'!G29*'Sales Details'!$I11</f>
        <v>0</v>
      </c>
      <c r="J34" s="388">
        <f>'Sales Forecast Year 2'!K29*'Sales Details'!$F11+'Sales Forecast Year 2'!J29*'Sales Details'!$G11+'Sales Forecast Year 2'!I29*'Sales Details'!$H11+'Sales Forecast Year 2'!H29*'Sales Details'!$I11</f>
        <v>0</v>
      </c>
      <c r="K34" s="388">
        <f>'Sales Forecast Year 2'!L29*'Sales Details'!$F11+'Sales Forecast Year 2'!K29*'Sales Details'!$G11+'Sales Forecast Year 2'!J29*'Sales Details'!$H11+'Sales Forecast Year 2'!I29*'Sales Details'!$I11</f>
        <v>0</v>
      </c>
      <c r="L34" s="388">
        <f>'Sales Forecast Year 2'!M29*'Sales Details'!$F11+'Sales Forecast Year 2'!L29*'Sales Details'!$G11+'Sales Forecast Year 2'!K29*'Sales Details'!$H11+'Sales Forecast Year 2'!J29*'Sales Details'!$I11</f>
        <v>0</v>
      </c>
      <c r="M34" s="388">
        <f>'Sales Forecast Year 2'!N29*'Sales Details'!$F11+'Sales Forecast Year 2'!M29*'Sales Details'!$G11+'Sales Forecast Year 2'!L29*'Sales Details'!$H11+'Sales Forecast Year 2'!K29*'Sales Details'!$I11</f>
        <v>0</v>
      </c>
      <c r="N34" s="388">
        <f>'Sales Forecast Year 2'!O29*'Sales Details'!$F11+'Sales Forecast Year 2'!N29*'Sales Details'!$G11+'Sales Forecast Year 2'!M29*'Sales Details'!$H11+'Sales Forecast Year 2'!L29*'Sales Details'!$I11</f>
        <v>0</v>
      </c>
      <c r="O34" s="388">
        <f t="shared" si="7"/>
        <v>0</v>
      </c>
      <c r="Q34" s="387">
        <f>ROUND(IF('Sales Forecast Year 2'!$B29="Yes",C34*'Tables and Calculations'!$C$10,0),0)</f>
        <v>0</v>
      </c>
      <c r="R34" s="387">
        <f>ROUND(IF('Sales Forecast Year 2'!$B29="Yes",D34*'Tables and Calculations'!$C$10,0),0)</f>
        <v>0</v>
      </c>
      <c r="S34" s="387">
        <f>ROUND(IF('Sales Forecast Year 2'!$B29="Yes",E34*'Tables and Calculations'!$C$10,0),0)</f>
        <v>0</v>
      </c>
      <c r="T34" s="387">
        <f>ROUND(IF('Sales Forecast Year 2'!$B29="Yes",F34*'Tables and Calculations'!$C$10,0),0)</f>
        <v>0</v>
      </c>
      <c r="U34" s="387">
        <f>ROUND(IF('Sales Forecast Year 2'!$B29="Yes",G34*'Tables and Calculations'!$C$10,0),0)</f>
        <v>0</v>
      </c>
      <c r="V34" s="387">
        <f>ROUND(IF('Sales Forecast Year 2'!$B29="Yes",H34*'Tables and Calculations'!$C$10,0),0)</f>
        <v>0</v>
      </c>
      <c r="W34" s="387">
        <f>ROUND(IF('Sales Forecast Year 2'!$B29="Yes",I34*'Tables and Calculations'!$C$10,0),0)</f>
        <v>0</v>
      </c>
      <c r="X34" s="387">
        <f>ROUND(IF('Sales Forecast Year 2'!$B29="Yes",J34*'Tables and Calculations'!$C$10,0),0)</f>
        <v>0</v>
      </c>
      <c r="Y34" s="387">
        <f>ROUND(IF('Sales Forecast Year 2'!$B29="Yes",K34*'Tables and Calculations'!$C$10,0),0)</f>
        <v>0</v>
      </c>
      <c r="Z34" s="387">
        <f>ROUND(IF('Sales Forecast Year 2'!$B29="Yes",L34*'Tables and Calculations'!$C$10,0),0)</f>
        <v>0</v>
      </c>
      <c r="AA34" s="387">
        <f>ROUND(IF('Sales Forecast Year 2'!$B29="Yes",M34*'Tables and Calculations'!$C$10,0),0)</f>
        <v>0</v>
      </c>
      <c r="AB34" s="387">
        <f>ROUND(IF('Sales Forecast Year 2'!$B29="Yes",N34*'Tables and Calculations'!$C$10,0),0)</f>
        <v>0</v>
      </c>
      <c r="AC34" s="388">
        <f t="shared" si="8"/>
        <v>0</v>
      </c>
    </row>
    <row r="35" spans="1:29" ht="15">
      <c r="A35" s="383">
        <f t="shared" si="6"/>
        <v>0</v>
      </c>
      <c r="B35" s="392"/>
      <c r="C35" s="388">
        <f>'Sales Forecast Year 2'!D30*'Sales Details'!$F12+'Sales Forecast Year 1'!O31*'Sales Details'!$G12+'Sales Forecast Year 1'!N31*'Sales Details'!$H12+'Sales Forecast Year 1'!M31*'Sales Details'!I12</f>
        <v>0</v>
      </c>
      <c r="D35" s="388">
        <f>'Sales Forecast Year 2'!E30*'Sales Details'!$F12+'Sales Forecast Year 2'!D30*'Sales Details'!$G12+'Sales Forecast Year 1'!O31*'Sales Details'!$H12+'Sales Forecast Year 1'!N31*'Sales Details'!$I12</f>
        <v>0</v>
      </c>
      <c r="E35" s="388">
        <f>'Sales Forecast Year 2'!F30*'Sales Details'!$F12+'Sales Forecast Year 2'!E30*'Sales Details'!$G12+'Sales Forecast Year 2'!D30*'Sales Details'!$H12+'Sales Forecast Year 1'!O31*'Sales Details'!$I12</f>
        <v>0</v>
      </c>
      <c r="F35" s="388">
        <f>'Sales Forecast Year 2'!G30*'Sales Details'!$F12+'Sales Forecast Year 2'!F30*'Sales Details'!$G12+'Sales Forecast Year 2'!E30*'Sales Details'!$H12+'Sales Forecast Year 2'!D30*'Sales Details'!$I12</f>
        <v>0</v>
      </c>
      <c r="G35" s="388">
        <f>'Sales Forecast Year 2'!H30*'Sales Details'!$F12+'Sales Forecast Year 2'!G30*'Sales Details'!$G12+'Sales Forecast Year 2'!F30*'Sales Details'!$H12+'Sales Forecast Year 2'!E30*'Sales Details'!$I12</f>
        <v>0</v>
      </c>
      <c r="H35" s="388">
        <f>'Sales Forecast Year 2'!I30*'Sales Details'!$F12+'Sales Forecast Year 2'!H30*'Sales Details'!$G12+'Sales Forecast Year 2'!G30*'Sales Details'!$H12+'Sales Forecast Year 2'!F30*'Sales Details'!$I12</f>
        <v>0</v>
      </c>
      <c r="I35" s="388">
        <f>'Sales Forecast Year 2'!J30*'Sales Details'!$F12+'Sales Forecast Year 2'!I30*'Sales Details'!$G12+'Sales Forecast Year 2'!H30*'Sales Details'!$H12+'Sales Forecast Year 2'!G30*'Sales Details'!$I12</f>
        <v>0</v>
      </c>
      <c r="J35" s="388">
        <f>'Sales Forecast Year 2'!K30*'Sales Details'!$F12+'Sales Forecast Year 2'!J30*'Sales Details'!$G12+'Sales Forecast Year 2'!I30*'Sales Details'!$H12+'Sales Forecast Year 2'!H30*'Sales Details'!$I12</f>
        <v>0</v>
      </c>
      <c r="K35" s="388">
        <f>'Sales Forecast Year 2'!L30*'Sales Details'!$F12+'Sales Forecast Year 2'!K30*'Sales Details'!$G12+'Sales Forecast Year 2'!J30*'Sales Details'!$H12+'Sales Forecast Year 2'!I30*'Sales Details'!$I12</f>
        <v>0</v>
      </c>
      <c r="L35" s="388">
        <f>'Sales Forecast Year 2'!M30*'Sales Details'!$F12+'Sales Forecast Year 2'!L30*'Sales Details'!$G12+'Sales Forecast Year 2'!K30*'Sales Details'!$H12+'Sales Forecast Year 2'!J30*'Sales Details'!$I12</f>
        <v>0</v>
      </c>
      <c r="M35" s="388">
        <f>'Sales Forecast Year 2'!N30*'Sales Details'!$F12+'Sales Forecast Year 2'!M30*'Sales Details'!$G12+'Sales Forecast Year 2'!L30*'Sales Details'!$H12+'Sales Forecast Year 2'!K30*'Sales Details'!$I12</f>
        <v>0</v>
      </c>
      <c r="N35" s="388">
        <f>'Sales Forecast Year 2'!O30*'Sales Details'!$F12+'Sales Forecast Year 2'!N30*'Sales Details'!$G12+'Sales Forecast Year 2'!M30*'Sales Details'!$H12+'Sales Forecast Year 2'!L30*'Sales Details'!$I12</f>
        <v>0</v>
      </c>
      <c r="O35" s="388">
        <f t="shared" si="7"/>
        <v>0</v>
      </c>
      <c r="Q35" s="387">
        <f>ROUND(IF('Sales Forecast Year 2'!$B30="Yes",C35*'Tables and Calculations'!$C$10,0),0)</f>
        <v>0</v>
      </c>
      <c r="R35" s="387">
        <f>ROUND(IF('Sales Forecast Year 2'!$B30="Yes",D35*'Tables and Calculations'!$C$10,0),0)</f>
        <v>0</v>
      </c>
      <c r="S35" s="387">
        <f>ROUND(IF('Sales Forecast Year 2'!$B30="Yes",E35*'Tables and Calculations'!$C$10,0),0)</f>
        <v>0</v>
      </c>
      <c r="T35" s="387">
        <f>ROUND(IF('Sales Forecast Year 2'!$B30="Yes",F35*'Tables and Calculations'!$C$10,0),0)</f>
        <v>0</v>
      </c>
      <c r="U35" s="387">
        <f>ROUND(IF('Sales Forecast Year 2'!$B30="Yes",G35*'Tables and Calculations'!$C$10,0),0)</f>
        <v>0</v>
      </c>
      <c r="V35" s="387">
        <f>ROUND(IF('Sales Forecast Year 2'!$B30="Yes",H35*'Tables and Calculations'!$C$10,0),0)</f>
        <v>0</v>
      </c>
      <c r="W35" s="387">
        <f>ROUND(IF('Sales Forecast Year 2'!$B30="Yes",I35*'Tables and Calculations'!$C$10,0),0)</f>
        <v>0</v>
      </c>
      <c r="X35" s="387">
        <f>ROUND(IF('Sales Forecast Year 2'!$B30="Yes",J35*'Tables and Calculations'!$C$10,0),0)</f>
        <v>0</v>
      </c>
      <c r="Y35" s="387">
        <f>ROUND(IF('Sales Forecast Year 2'!$B30="Yes",K35*'Tables and Calculations'!$C$10,0),0)</f>
        <v>0</v>
      </c>
      <c r="Z35" s="387">
        <f>ROUND(IF('Sales Forecast Year 2'!$B30="Yes",L35*'Tables and Calculations'!$C$10,0),0)</f>
        <v>0</v>
      </c>
      <c r="AA35" s="387">
        <f>ROUND(IF('Sales Forecast Year 2'!$B30="Yes",M35*'Tables and Calculations'!$C$10,0),0)</f>
        <v>0</v>
      </c>
      <c r="AB35" s="387">
        <f>ROUND(IF('Sales Forecast Year 2'!$B30="Yes",N35*'Tables and Calculations'!$C$10,0),0)</f>
        <v>0</v>
      </c>
      <c r="AC35" s="388">
        <f t="shared" si="8"/>
        <v>0</v>
      </c>
    </row>
    <row r="36" spans="1:29" ht="15">
      <c r="A36" s="383">
        <f t="shared" si="6"/>
        <v>0</v>
      </c>
      <c r="B36" s="392"/>
      <c r="C36" s="388">
        <f>'Sales Forecast Year 2'!D31*'Sales Details'!$F13+'Sales Forecast Year 1'!O32*'Sales Details'!$G13+'Sales Forecast Year 1'!N32*'Sales Details'!$H13+'Sales Forecast Year 1'!M32*'Sales Details'!I13</f>
        <v>0</v>
      </c>
      <c r="D36" s="388">
        <f>'Sales Forecast Year 2'!E31*'Sales Details'!$F13+'Sales Forecast Year 2'!D31*'Sales Details'!$G13+'Sales Forecast Year 1'!O32*'Sales Details'!$H13+'Sales Forecast Year 1'!N32*'Sales Details'!$I13</f>
        <v>0</v>
      </c>
      <c r="E36" s="388">
        <f>'Sales Forecast Year 2'!F31*'Sales Details'!$F13+'Sales Forecast Year 2'!E31*'Sales Details'!$G13+'Sales Forecast Year 2'!D31*'Sales Details'!$H13+'Sales Forecast Year 1'!O32*'Sales Details'!$I13</f>
        <v>0</v>
      </c>
      <c r="F36" s="388">
        <f>'Sales Forecast Year 2'!G31*'Sales Details'!$F13+'Sales Forecast Year 2'!F31*'Sales Details'!$G13+'Sales Forecast Year 2'!E31*'Sales Details'!$H13+'Sales Forecast Year 2'!D31*'Sales Details'!$I13</f>
        <v>0</v>
      </c>
      <c r="G36" s="388">
        <f>'Sales Forecast Year 2'!H31*'Sales Details'!$F13+'Sales Forecast Year 2'!G31*'Sales Details'!$G13+'Sales Forecast Year 2'!F31*'Sales Details'!$H13+'Sales Forecast Year 2'!E31*'Sales Details'!$I13</f>
        <v>0</v>
      </c>
      <c r="H36" s="388">
        <f>'Sales Forecast Year 2'!I31*'Sales Details'!$F13+'Sales Forecast Year 2'!H31*'Sales Details'!$G13+'Sales Forecast Year 2'!G31*'Sales Details'!$H13+'Sales Forecast Year 2'!F31*'Sales Details'!$I13</f>
        <v>0</v>
      </c>
      <c r="I36" s="388">
        <f>'Sales Forecast Year 2'!J31*'Sales Details'!$F13+'Sales Forecast Year 2'!I31*'Sales Details'!$G13+'Sales Forecast Year 2'!H31*'Sales Details'!$H13+'Sales Forecast Year 2'!G31*'Sales Details'!$I13</f>
        <v>0</v>
      </c>
      <c r="J36" s="388">
        <f>'Sales Forecast Year 2'!K31*'Sales Details'!$F13+'Sales Forecast Year 2'!J31*'Sales Details'!$G13+'Sales Forecast Year 2'!I31*'Sales Details'!$H13+'Sales Forecast Year 2'!H31*'Sales Details'!$I13</f>
        <v>0</v>
      </c>
      <c r="K36" s="388">
        <f>'Sales Forecast Year 2'!L31*'Sales Details'!$F13+'Sales Forecast Year 2'!K31*'Sales Details'!$G13+'Sales Forecast Year 2'!J31*'Sales Details'!$H13+'Sales Forecast Year 2'!I31*'Sales Details'!$I13</f>
        <v>0</v>
      </c>
      <c r="L36" s="388">
        <f>'Sales Forecast Year 2'!M31*'Sales Details'!$F13+'Sales Forecast Year 2'!L31*'Sales Details'!$G13+'Sales Forecast Year 2'!K31*'Sales Details'!$H13+'Sales Forecast Year 2'!J31*'Sales Details'!$I13</f>
        <v>0</v>
      </c>
      <c r="M36" s="388">
        <f>'Sales Forecast Year 2'!N31*'Sales Details'!$F13+'Sales Forecast Year 2'!M31*'Sales Details'!$G13+'Sales Forecast Year 2'!L31*'Sales Details'!$H13+'Sales Forecast Year 2'!K31*'Sales Details'!$I13</f>
        <v>0</v>
      </c>
      <c r="N36" s="388">
        <f>'Sales Forecast Year 2'!O31*'Sales Details'!$F13+'Sales Forecast Year 2'!N31*'Sales Details'!$G13+'Sales Forecast Year 2'!M31*'Sales Details'!$H13+'Sales Forecast Year 2'!L31*'Sales Details'!$I13</f>
        <v>0</v>
      </c>
      <c r="O36" s="388">
        <f t="shared" si="7"/>
        <v>0</v>
      </c>
      <c r="Q36" s="387">
        <f>ROUND(IF('Sales Forecast Year 2'!$B31="Yes",C36*'Tables and Calculations'!$C$10,0),0)</f>
        <v>0</v>
      </c>
      <c r="R36" s="387">
        <f>ROUND(IF('Sales Forecast Year 2'!$B31="Yes",D36*'Tables and Calculations'!$C$10,0),0)</f>
        <v>0</v>
      </c>
      <c r="S36" s="387">
        <f>ROUND(IF('Sales Forecast Year 2'!$B31="Yes",E36*'Tables and Calculations'!$C$10,0),0)</f>
        <v>0</v>
      </c>
      <c r="T36" s="387">
        <f>ROUND(IF('Sales Forecast Year 2'!$B31="Yes",F36*'Tables and Calculations'!$C$10,0),0)</f>
        <v>0</v>
      </c>
      <c r="U36" s="387">
        <f>ROUND(IF('Sales Forecast Year 2'!$B31="Yes",G36*'Tables and Calculations'!$C$10,0),0)</f>
        <v>0</v>
      </c>
      <c r="V36" s="387">
        <f>ROUND(IF('Sales Forecast Year 2'!$B31="Yes",H36*'Tables and Calculations'!$C$10,0),0)</f>
        <v>0</v>
      </c>
      <c r="W36" s="387">
        <f>ROUND(IF('Sales Forecast Year 2'!$B31="Yes",I36*'Tables and Calculations'!$C$10,0),0)</f>
        <v>0</v>
      </c>
      <c r="X36" s="387">
        <f>ROUND(IF('Sales Forecast Year 2'!$B31="Yes",J36*'Tables and Calculations'!$C$10,0),0)</f>
        <v>0</v>
      </c>
      <c r="Y36" s="387">
        <f>ROUND(IF('Sales Forecast Year 2'!$B31="Yes",K36*'Tables and Calculations'!$C$10,0),0)</f>
        <v>0</v>
      </c>
      <c r="Z36" s="387">
        <f>ROUND(IF('Sales Forecast Year 2'!$B31="Yes",L36*'Tables and Calculations'!$C$10,0),0)</f>
        <v>0</v>
      </c>
      <c r="AA36" s="387">
        <f>ROUND(IF('Sales Forecast Year 2'!$B31="Yes",M36*'Tables and Calculations'!$C$10,0),0)</f>
        <v>0</v>
      </c>
      <c r="AB36" s="387">
        <f>ROUND(IF('Sales Forecast Year 2'!$B31="Yes",N36*'Tables and Calculations'!$C$10,0),0)</f>
        <v>0</v>
      </c>
      <c r="AC36" s="388">
        <f t="shared" si="8"/>
        <v>0</v>
      </c>
    </row>
    <row r="37" spans="1:29" ht="15">
      <c r="A37" s="383">
        <f t="shared" si="6"/>
        <v>0</v>
      </c>
      <c r="B37" s="392"/>
      <c r="C37" s="388">
        <f>'Sales Forecast Year 2'!D32*'Sales Details'!$F14+'Sales Forecast Year 1'!O33*'Sales Details'!$G14+'Sales Forecast Year 1'!N33*'Sales Details'!$H14+'Sales Forecast Year 1'!M33*'Sales Details'!I14</f>
        <v>0</v>
      </c>
      <c r="D37" s="388">
        <f>'Sales Forecast Year 2'!E32*'Sales Details'!$F14+'Sales Forecast Year 2'!D32*'Sales Details'!$G14+'Sales Forecast Year 1'!O33*'Sales Details'!$H14+'Sales Forecast Year 1'!N33*'Sales Details'!$I14</f>
        <v>0</v>
      </c>
      <c r="E37" s="388">
        <f>'Sales Forecast Year 2'!F32*'Sales Details'!$F14+'Sales Forecast Year 2'!E32*'Sales Details'!$G14+'Sales Forecast Year 2'!D32*'Sales Details'!$H14+'Sales Forecast Year 1'!O33*'Sales Details'!$I14</f>
        <v>0</v>
      </c>
      <c r="F37" s="388">
        <f>'Sales Forecast Year 2'!G32*'Sales Details'!$F14+'Sales Forecast Year 2'!F32*'Sales Details'!$G14+'Sales Forecast Year 2'!E32*'Sales Details'!$H14+'Sales Forecast Year 2'!D32*'Sales Details'!$I14</f>
        <v>0</v>
      </c>
      <c r="G37" s="388">
        <f>'Sales Forecast Year 2'!H32*'Sales Details'!$F14+'Sales Forecast Year 2'!G32*'Sales Details'!$G14+'Sales Forecast Year 2'!F32*'Sales Details'!$H14+'Sales Forecast Year 2'!E32*'Sales Details'!$I14</f>
        <v>0</v>
      </c>
      <c r="H37" s="388">
        <f>'Sales Forecast Year 2'!I32*'Sales Details'!$F14+'Sales Forecast Year 2'!H32*'Sales Details'!$G14+'Sales Forecast Year 2'!G32*'Sales Details'!$H14+'Sales Forecast Year 2'!F32*'Sales Details'!$I14</f>
        <v>0</v>
      </c>
      <c r="I37" s="388">
        <f>'Sales Forecast Year 2'!J32*'Sales Details'!$F14+'Sales Forecast Year 2'!I32*'Sales Details'!$G14+'Sales Forecast Year 2'!H32*'Sales Details'!$H14+'Sales Forecast Year 2'!G32*'Sales Details'!$I14</f>
        <v>0</v>
      </c>
      <c r="J37" s="388">
        <f>'Sales Forecast Year 2'!K32*'Sales Details'!$F14+'Sales Forecast Year 2'!J32*'Sales Details'!$G14+'Sales Forecast Year 2'!I32*'Sales Details'!$H14+'Sales Forecast Year 2'!H32*'Sales Details'!$I14</f>
        <v>0</v>
      </c>
      <c r="K37" s="388">
        <f>'Sales Forecast Year 2'!L32*'Sales Details'!$F14+'Sales Forecast Year 2'!K32*'Sales Details'!$G14+'Sales Forecast Year 2'!J32*'Sales Details'!$H14+'Sales Forecast Year 2'!I32*'Sales Details'!$I14</f>
        <v>0</v>
      </c>
      <c r="L37" s="388">
        <f>'Sales Forecast Year 2'!M32*'Sales Details'!$F14+'Sales Forecast Year 2'!L32*'Sales Details'!$G14+'Sales Forecast Year 2'!K32*'Sales Details'!$H14+'Sales Forecast Year 2'!J32*'Sales Details'!$I14</f>
        <v>0</v>
      </c>
      <c r="M37" s="388">
        <f>'Sales Forecast Year 2'!N32*'Sales Details'!$F14+'Sales Forecast Year 2'!M32*'Sales Details'!$G14+'Sales Forecast Year 2'!L32*'Sales Details'!$H14+'Sales Forecast Year 2'!K32*'Sales Details'!$I14</f>
        <v>0</v>
      </c>
      <c r="N37" s="388">
        <f>'Sales Forecast Year 2'!O32*'Sales Details'!$F14+'Sales Forecast Year 2'!N32*'Sales Details'!$G14+'Sales Forecast Year 2'!M32*'Sales Details'!$H14+'Sales Forecast Year 2'!L32*'Sales Details'!$I14</f>
        <v>0</v>
      </c>
      <c r="O37" s="388">
        <f t="shared" si="7"/>
        <v>0</v>
      </c>
      <c r="Q37" s="387">
        <f>ROUND(IF('Sales Forecast Year 2'!$B32="Yes",C37*'Tables and Calculations'!$C$10,0),0)</f>
        <v>0</v>
      </c>
      <c r="R37" s="387">
        <f>ROUND(IF('Sales Forecast Year 2'!$B32="Yes",D37*'Tables and Calculations'!$C$10,0),0)</f>
        <v>0</v>
      </c>
      <c r="S37" s="387">
        <f>ROUND(IF('Sales Forecast Year 2'!$B32="Yes",E37*'Tables and Calculations'!$C$10,0),0)</f>
        <v>0</v>
      </c>
      <c r="T37" s="387">
        <f>ROUND(IF('Sales Forecast Year 2'!$B32="Yes",F37*'Tables and Calculations'!$C$10,0),0)</f>
        <v>0</v>
      </c>
      <c r="U37" s="387">
        <f>ROUND(IF('Sales Forecast Year 2'!$B32="Yes",G37*'Tables and Calculations'!$C$10,0),0)</f>
        <v>0</v>
      </c>
      <c r="V37" s="387">
        <f>ROUND(IF('Sales Forecast Year 2'!$B32="Yes",H37*'Tables and Calculations'!$C$10,0),0)</f>
        <v>0</v>
      </c>
      <c r="W37" s="387">
        <f>ROUND(IF('Sales Forecast Year 2'!$B32="Yes",I37*'Tables and Calculations'!$C$10,0),0)</f>
        <v>0</v>
      </c>
      <c r="X37" s="387">
        <f>ROUND(IF('Sales Forecast Year 2'!$B32="Yes",J37*'Tables and Calculations'!$C$10,0),0)</f>
        <v>0</v>
      </c>
      <c r="Y37" s="387">
        <f>ROUND(IF('Sales Forecast Year 2'!$B32="Yes",K37*'Tables and Calculations'!$C$10,0),0)</f>
        <v>0</v>
      </c>
      <c r="Z37" s="387">
        <f>ROUND(IF('Sales Forecast Year 2'!$B32="Yes",L37*'Tables and Calculations'!$C$10,0),0)</f>
        <v>0</v>
      </c>
      <c r="AA37" s="387">
        <f>ROUND(IF('Sales Forecast Year 2'!$B32="Yes",M37*'Tables and Calculations'!$C$10,0),0)</f>
        <v>0</v>
      </c>
      <c r="AB37" s="387">
        <f>ROUND(IF('Sales Forecast Year 2'!$B32="Yes",N37*'Tables and Calculations'!$C$10,0),0)</f>
        <v>0</v>
      </c>
      <c r="AC37" s="387">
        <v>0</v>
      </c>
    </row>
    <row r="38" spans="1:29" ht="15">
      <c r="A38" s="383">
        <f t="shared" si="6"/>
        <v>0</v>
      </c>
      <c r="B38" s="392"/>
      <c r="C38" s="388">
        <f>'Sales Forecast Year 2'!D33*'Sales Details'!$F15+'Sales Forecast Year 1'!O34*'Sales Details'!$G15+'Sales Forecast Year 1'!N34*'Sales Details'!$H15+'Sales Forecast Year 1'!M34*'Sales Details'!I15</f>
        <v>0</v>
      </c>
      <c r="D38" s="388">
        <f>'Sales Forecast Year 2'!E33*'Sales Details'!$F15+'Sales Forecast Year 2'!D33*'Sales Details'!$G15+'Sales Forecast Year 1'!O34*'Sales Details'!$H15+'Sales Forecast Year 1'!N34*'Sales Details'!$I15</f>
        <v>0</v>
      </c>
      <c r="E38" s="388">
        <f>'Sales Forecast Year 2'!F33*'Sales Details'!$F15+'Sales Forecast Year 2'!E33*'Sales Details'!$G15+'Sales Forecast Year 2'!D33*'Sales Details'!$H15+'Sales Forecast Year 1'!O34*'Sales Details'!$I15</f>
        <v>0</v>
      </c>
      <c r="F38" s="388">
        <f>'Sales Forecast Year 2'!G33*'Sales Details'!$F15+'Sales Forecast Year 2'!F33*'Sales Details'!$G15+'Sales Forecast Year 2'!E33*'Sales Details'!$H15+'Sales Forecast Year 2'!D33*'Sales Details'!$I15</f>
        <v>0</v>
      </c>
      <c r="G38" s="388">
        <f>'Sales Forecast Year 2'!H33*'Sales Details'!$F15+'Sales Forecast Year 2'!G33*'Sales Details'!$G15+'Sales Forecast Year 2'!F33*'Sales Details'!$H15+'Sales Forecast Year 2'!E33*'Sales Details'!$I15</f>
        <v>0</v>
      </c>
      <c r="H38" s="388">
        <f>'Sales Forecast Year 2'!I33*'Sales Details'!$F15+'Sales Forecast Year 2'!H33*'Sales Details'!$G15+'Sales Forecast Year 2'!G33*'Sales Details'!$H15+'Sales Forecast Year 2'!F33*'Sales Details'!$I15</f>
        <v>0</v>
      </c>
      <c r="I38" s="388">
        <f>'Sales Forecast Year 2'!J33*'Sales Details'!$F15+'Sales Forecast Year 2'!I33*'Sales Details'!$G15+'Sales Forecast Year 2'!H33*'Sales Details'!$H15+'Sales Forecast Year 2'!G33*'Sales Details'!$I15</f>
        <v>0</v>
      </c>
      <c r="J38" s="388">
        <f>'Sales Forecast Year 2'!K33*'Sales Details'!$F15+'Sales Forecast Year 2'!J33*'Sales Details'!$G15+'Sales Forecast Year 2'!I33*'Sales Details'!$H15+'Sales Forecast Year 2'!H33*'Sales Details'!$I15</f>
        <v>0</v>
      </c>
      <c r="K38" s="388">
        <f>'Sales Forecast Year 2'!L33*'Sales Details'!$F15+'Sales Forecast Year 2'!K33*'Sales Details'!$G15+'Sales Forecast Year 2'!J33*'Sales Details'!$H15+'Sales Forecast Year 2'!I33*'Sales Details'!$I15</f>
        <v>0</v>
      </c>
      <c r="L38" s="388">
        <f>'Sales Forecast Year 2'!M33*'Sales Details'!$F15+'Sales Forecast Year 2'!L33*'Sales Details'!$G15+'Sales Forecast Year 2'!K33*'Sales Details'!$H15+'Sales Forecast Year 2'!J33*'Sales Details'!$I15</f>
        <v>0</v>
      </c>
      <c r="M38" s="388">
        <f>'Sales Forecast Year 2'!N33*'Sales Details'!$F15+'Sales Forecast Year 2'!M33*'Sales Details'!$G15+'Sales Forecast Year 2'!L33*'Sales Details'!$H15+'Sales Forecast Year 2'!K33*'Sales Details'!$I15</f>
        <v>0</v>
      </c>
      <c r="N38" s="388">
        <f>'Sales Forecast Year 2'!O33*'Sales Details'!$F15+'Sales Forecast Year 2'!N33*'Sales Details'!$G15+'Sales Forecast Year 2'!M33*'Sales Details'!$H15+'Sales Forecast Year 2'!L33*'Sales Details'!$I15</f>
        <v>0</v>
      </c>
      <c r="O38" s="388">
        <f t="shared" si="7"/>
        <v>0</v>
      </c>
      <c r="Q38" s="387">
        <f>ROUND(IF('Sales Forecast Year 2'!$B33="Yes",C38*'Tables and Calculations'!$C$10,0),0)</f>
        <v>0</v>
      </c>
      <c r="R38" s="387">
        <f>ROUND(IF('Sales Forecast Year 2'!$B33="Yes",D38*'Tables and Calculations'!$C$10,0),0)</f>
        <v>0</v>
      </c>
      <c r="S38" s="387">
        <f>ROUND(IF('Sales Forecast Year 2'!$B33="Yes",E38*'Tables and Calculations'!$C$10,0),0)</f>
        <v>0</v>
      </c>
      <c r="T38" s="387">
        <f>ROUND(IF('Sales Forecast Year 2'!$B33="Yes",F38*'Tables and Calculations'!$C$10,0),0)</f>
        <v>0</v>
      </c>
      <c r="U38" s="387">
        <f>ROUND(IF('Sales Forecast Year 2'!$B33="Yes",G38*'Tables and Calculations'!$C$10,0),0)</f>
        <v>0</v>
      </c>
      <c r="V38" s="387">
        <f>ROUND(IF('Sales Forecast Year 2'!$B33="Yes",H38*'Tables and Calculations'!$C$10,0),0)</f>
        <v>0</v>
      </c>
      <c r="W38" s="387">
        <f>ROUND(IF('Sales Forecast Year 2'!$B33="Yes",I38*'Tables and Calculations'!$C$10,0),0)</f>
        <v>0</v>
      </c>
      <c r="X38" s="387">
        <f>ROUND(IF('Sales Forecast Year 2'!$B33="Yes",J38*'Tables and Calculations'!$C$10,0),0)</f>
        <v>0</v>
      </c>
      <c r="Y38" s="387">
        <f>ROUND(IF('Sales Forecast Year 2'!$B33="Yes",K38*'Tables and Calculations'!$C$10,0),0)</f>
        <v>0</v>
      </c>
      <c r="Z38" s="387">
        <f>ROUND(IF('Sales Forecast Year 2'!$B33="Yes",L38*'Tables and Calculations'!$C$10,0),0)</f>
        <v>0</v>
      </c>
      <c r="AA38" s="387">
        <f>ROUND(IF('Sales Forecast Year 2'!$B33="Yes",M38*'Tables and Calculations'!$C$10,0),0)</f>
        <v>0</v>
      </c>
      <c r="AB38" s="387">
        <f>ROUND(IF('Sales Forecast Year 2'!$B33="Yes",N38*'Tables and Calculations'!$C$10,0),0)</f>
        <v>0</v>
      </c>
      <c r="AC38" s="387">
        <v>0</v>
      </c>
    </row>
    <row r="39" spans="1:29" ht="15">
      <c r="A39" s="383">
        <f t="shared" si="6"/>
        <v>0</v>
      </c>
      <c r="B39" s="392"/>
      <c r="C39" s="388">
        <f>'Sales Forecast Year 2'!D34*'Sales Details'!$F16+'Sales Forecast Year 1'!O35*'Sales Details'!$G16+'Sales Forecast Year 1'!N35*'Sales Details'!$H16+'Sales Forecast Year 1'!M35*'Sales Details'!I16</f>
        <v>0</v>
      </c>
      <c r="D39" s="388">
        <f>'Sales Forecast Year 2'!E34*'Sales Details'!$F16+'Sales Forecast Year 2'!D34*'Sales Details'!$G16+'Sales Forecast Year 1'!O35*'Sales Details'!$H16+'Sales Forecast Year 1'!N35*'Sales Details'!$I16</f>
        <v>0</v>
      </c>
      <c r="E39" s="388">
        <f>'Sales Forecast Year 2'!F34*'Sales Details'!$F16+'Sales Forecast Year 2'!E34*'Sales Details'!$G16+'Sales Forecast Year 2'!D34*'Sales Details'!$H16+'Sales Forecast Year 1'!O35*'Sales Details'!$I16</f>
        <v>0</v>
      </c>
      <c r="F39" s="388">
        <f>'Sales Forecast Year 2'!G34*'Sales Details'!$F16+'Sales Forecast Year 2'!F34*'Sales Details'!$G16+'Sales Forecast Year 2'!E34*'Sales Details'!$H16+'Sales Forecast Year 2'!D34*'Sales Details'!$I16</f>
        <v>0</v>
      </c>
      <c r="G39" s="388">
        <f>'Sales Forecast Year 2'!H34*'Sales Details'!$F16+'Sales Forecast Year 2'!G34*'Sales Details'!$G16+'Sales Forecast Year 2'!F34*'Sales Details'!$H16+'Sales Forecast Year 2'!E34*'Sales Details'!$I16</f>
        <v>0</v>
      </c>
      <c r="H39" s="388">
        <f>'Sales Forecast Year 2'!I34*'Sales Details'!$F16+'Sales Forecast Year 2'!H34*'Sales Details'!$G16+'Sales Forecast Year 2'!G34*'Sales Details'!$H16+'Sales Forecast Year 2'!F34*'Sales Details'!$I16</f>
        <v>0</v>
      </c>
      <c r="I39" s="388">
        <f>'Sales Forecast Year 2'!J34*'Sales Details'!$F16+'Sales Forecast Year 2'!I34*'Sales Details'!$G16+'Sales Forecast Year 2'!H34*'Sales Details'!$H16+'Sales Forecast Year 2'!G34*'Sales Details'!$I16</f>
        <v>0</v>
      </c>
      <c r="J39" s="388">
        <f>'Sales Forecast Year 2'!K34*'Sales Details'!$F16+'Sales Forecast Year 2'!J34*'Sales Details'!$G16+'Sales Forecast Year 2'!I34*'Sales Details'!$H16+'Sales Forecast Year 2'!H34*'Sales Details'!$I16</f>
        <v>0</v>
      </c>
      <c r="K39" s="388">
        <f>'Sales Forecast Year 2'!L34*'Sales Details'!$F16+'Sales Forecast Year 2'!K34*'Sales Details'!$G16+'Sales Forecast Year 2'!J34*'Sales Details'!$H16+'Sales Forecast Year 2'!I34*'Sales Details'!$I16</f>
        <v>0</v>
      </c>
      <c r="L39" s="388">
        <f>'Sales Forecast Year 2'!M34*'Sales Details'!$F16+'Sales Forecast Year 2'!L34*'Sales Details'!$G16+'Sales Forecast Year 2'!K34*'Sales Details'!$H16+'Sales Forecast Year 2'!J34*'Sales Details'!$I16</f>
        <v>0</v>
      </c>
      <c r="M39" s="388">
        <f>'Sales Forecast Year 2'!N34*'Sales Details'!$F16+'Sales Forecast Year 2'!M34*'Sales Details'!$G16+'Sales Forecast Year 2'!L34*'Sales Details'!$H16+'Sales Forecast Year 2'!K34*'Sales Details'!$I16</f>
        <v>0</v>
      </c>
      <c r="N39" s="388">
        <f>'Sales Forecast Year 2'!O34*'Sales Details'!$F16+'Sales Forecast Year 2'!N34*'Sales Details'!$G16+'Sales Forecast Year 2'!M34*'Sales Details'!$H16+'Sales Forecast Year 2'!L34*'Sales Details'!$I16</f>
        <v>0</v>
      </c>
      <c r="O39" s="388">
        <f t="shared" si="7"/>
        <v>0</v>
      </c>
      <c r="Q39" s="387">
        <f>ROUND(IF('Sales Forecast Year 2'!$B34="Yes",C39*'Tables and Calculations'!$C$10,0),0)</f>
        <v>0</v>
      </c>
      <c r="R39" s="387">
        <f>ROUND(IF('Sales Forecast Year 2'!$B34="Yes",D39*'Tables and Calculations'!$C$10,0),0)</f>
        <v>0</v>
      </c>
      <c r="S39" s="387">
        <f>ROUND(IF('Sales Forecast Year 2'!$B34="Yes",E39*'Tables and Calculations'!$C$10,0),0)</f>
        <v>0</v>
      </c>
      <c r="T39" s="387">
        <f>ROUND(IF('Sales Forecast Year 2'!$B34="Yes",F39*'Tables and Calculations'!$C$10,0),0)</f>
        <v>0</v>
      </c>
      <c r="U39" s="387">
        <f>ROUND(IF('Sales Forecast Year 2'!$B34="Yes",G39*'Tables and Calculations'!$C$10,0),0)</f>
        <v>0</v>
      </c>
      <c r="V39" s="387">
        <f>ROUND(IF('Sales Forecast Year 2'!$B34="Yes",H39*'Tables and Calculations'!$C$10,0),0)</f>
        <v>0</v>
      </c>
      <c r="W39" s="387">
        <f>ROUND(IF('Sales Forecast Year 2'!$B34="Yes",I39*'Tables and Calculations'!$C$10,0),0)</f>
        <v>0</v>
      </c>
      <c r="X39" s="387">
        <f>ROUND(IF('Sales Forecast Year 2'!$B34="Yes",J39*'Tables and Calculations'!$C$10,0),0)</f>
        <v>0</v>
      </c>
      <c r="Y39" s="387">
        <f>ROUND(IF('Sales Forecast Year 2'!$B34="Yes",K39*'Tables and Calculations'!$C$10,0),0)</f>
        <v>0</v>
      </c>
      <c r="Z39" s="387">
        <f>ROUND(IF('Sales Forecast Year 2'!$B34="Yes",L39*'Tables and Calculations'!$C$10,0),0)</f>
        <v>0</v>
      </c>
      <c r="AA39" s="387">
        <f>ROUND(IF('Sales Forecast Year 2'!$B34="Yes",M39*'Tables and Calculations'!$C$10,0),0)</f>
        <v>0</v>
      </c>
      <c r="AB39" s="387">
        <f>ROUND(IF('Sales Forecast Year 2'!$B34="Yes",N39*'Tables and Calculations'!$C$10,0),0)</f>
        <v>0</v>
      </c>
      <c r="AC39" s="387">
        <v>0</v>
      </c>
    </row>
    <row r="40" spans="1:29" ht="15">
      <c r="A40" s="383">
        <f t="shared" si="6"/>
        <v>0</v>
      </c>
      <c r="B40" s="392"/>
      <c r="C40" s="388">
        <f>'Sales Forecast Year 2'!D35*'Sales Details'!$F17+'Sales Forecast Year 1'!O36*'Sales Details'!$G17+'Sales Forecast Year 1'!N36*'Sales Details'!$H17+'Sales Forecast Year 1'!M36*'Sales Details'!I17</f>
        <v>0</v>
      </c>
      <c r="D40" s="388">
        <f>'Sales Forecast Year 2'!E35*'Sales Details'!$F17+'Sales Forecast Year 2'!D35*'Sales Details'!$G17+'Sales Forecast Year 1'!O36*'Sales Details'!$H17+'Sales Forecast Year 1'!N36*'Sales Details'!$I17</f>
        <v>0</v>
      </c>
      <c r="E40" s="388">
        <f>'Sales Forecast Year 2'!F35*'Sales Details'!$F17+'Sales Forecast Year 2'!E35*'Sales Details'!$G17+'Sales Forecast Year 2'!D35*'Sales Details'!$H17+'Sales Forecast Year 1'!O36*'Sales Details'!$I17</f>
        <v>0</v>
      </c>
      <c r="F40" s="388">
        <f>'Sales Forecast Year 2'!G35*'Sales Details'!$F17+'Sales Forecast Year 2'!F35*'Sales Details'!$G17+'Sales Forecast Year 2'!E35*'Sales Details'!$H17+'Sales Forecast Year 2'!D35*'Sales Details'!$I17</f>
        <v>0</v>
      </c>
      <c r="G40" s="388">
        <f>'Sales Forecast Year 2'!H35*'Sales Details'!$F17+'Sales Forecast Year 2'!G35*'Sales Details'!$G17+'Sales Forecast Year 2'!F35*'Sales Details'!$H17+'Sales Forecast Year 2'!E35*'Sales Details'!$I17</f>
        <v>0</v>
      </c>
      <c r="H40" s="388">
        <f>'Sales Forecast Year 2'!I35*'Sales Details'!$F17+'Sales Forecast Year 2'!H35*'Sales Details'!$G17+'Sales Forecast Year 2'!G35*'Sales Details'!$H17+'Sales Forecast Year 2'!F35*'Sales Details'!$I17</f>
        <v>0</v>
      </c>
      <c r="I40" s="388">
        <f>'Sales Forecast Year 2'!J35*'Sales Details'!$F17+'Sales Forecast Year 2'!I35*'Sales Details'!$G17+'Sales Forecast Year 2'!H35*'Sales Details'!$H17+'Sales Forecast Year 2'!G35*'Sales Details'!$I17</f>
        <v>0</v>
      </c>
      <c r="J40" s="388">
        <f>'Sales Forecast Year 2'!K35*'Sales Details'!$F17+'Sales Forecast Year 2'!J35*'Sales Details'!$G17+'Sales Forecast Year 2'!I35*'Sales Details'!$H17+'Sales Forecast Year 2'!H35*'Sales Details'!$I17</f>
        <v>0</v>
      </c>
      <c r="K40" s="388">
        <f>'Sales Forecast Year 2'!L35*'Sales Details'!$F17+'Sales Forecast Year 2'!K35*'Sales Details'!$G17+'Sales Forecast Year 2'!J35*'Sales Details'!$H17+'Sales Forecast Year 2'!I35*'Sales Details'!$I17</f>
        <v>0</v>
      </c>
      <c r="L40" s="388">
        <f>'Sales Forecast Year 2'!M35*'Sales Details'!$F17+'Sales Forecast Year 2'!L35*'Sales Details'!$G17+'Sales Forecast Year 2'!K35*'Sales Details'!$H17+'Sales Forecast Year 2'!J35*'Sales Details'!$I17</f>
        <v>0</v>
      </c>
      <c r="M40" s="388">
        <f>'Sales Forecast Year 2'!N35*'Sales Details'!$F17+'Sales Forecast Year 2'!M35*'Sales Details'!$G17+'Sales Forecast Year 2'!L35*'Sales Details'!$H17+'Sales Forecast Year 2'!K35*'Sales Details'!$I17</f>
        <v>0</v>
      </c>
      <c r="N40" s="388">
        <f>'Sales Forecast Year 2'!O35*'Sales Details'!$F17+'Sales Forecast Year 2'!N35*'Sales Details'!$G17+'Sales Forecast Year 2'!M35*'Sales Details'!$H17+'Sales Forecast Year 2'!L35*'Sales Details'!$I17</f>
        <v>0</v>
      </c>
      <c r="O40" s="388">
        <f t="shared" si="7"/>
        <v>0</v>
      </c>
      <c r="Q40" s="387">
        <f>ROUND(IF('Sales Forecast Year 2'!$B35="Yes",C40*'Tables and Calculations'!$C$10,0),0)</f>
        <v>0</v>
      </c>
      <c r="R40" s="387">
        <f>ROUND(IF('Sales Forecast Year 2'!$B35="Yes",D40*'Tables and Calculations'!$C$10,0),0)</f>
        <v>0</v>
      </c>
      <c r="S40" s="387">
        <f>ROUND(IF('Sales Forecast Year 2'!$B35="Yes",E40*'Tables and Calculations'!$C$10,0),0)</f>
        <v>0</v>
      </c>
      <c r="T40" s="387">
        <f>ROUND(IF('Sales Forecast Year 2'!$B35="Yes",F40*'Tables and Calculations'!$C$10,0),0)</f>
        <v>0</v>
      </c>
      <c r="U40" s="387">
        <f>ROUND(IF('Sales Forecast Year 2'!$B35="Yes",G40*'Tables and Calculations'!$C$10,0),0)</f>
        <v>0</v>
      </c>
      <c r="V40" s="387">
        <f>ROUND(IF('Sales Forecast Year 2'!$B35="Yes",H40*'Tables and Calculations'!$C$10,0),0)</f>
        <v>0</v>
      </c>
      <c r="W40" s="387">
        <f>ROUND(IF('Sales Forecast Year 2'!$B35="Yes",I40*'Tables and Calculations'!$C$10,0),0)</f>
        <v>0</v>
      </c>
      <c r="X40" s="387">
        <f>ROUND(IF('Sales Forecast Year 2'!$B35="Yes",J40*'Tables and Calculations'!$C$10,0),0)</f>
        <v>0</v>
      </c>
      <c r="Y40" s="387">
        <f>ROUND(IF('Sales Forecast Year 2'!$B35="Yes",K40*'Tables and Calculations'!$C$10,0),0)</f>
        <v>0</v>
      </c>
      <c r="Z40" s="387">
        <f>ROUND(IF('Sales Forecast Year 2'!$B35="Yes",L40*'Tables and Calculations'!$C$10,0),0)</f>
        <v>0</v>
      </c>
      <c r="AA40" s="387">
        <f>ROUND(IF('Sales Forecast Year 2'!$B35="Yes",M40*'Tables and Calculations'!$C$10,0),0)</f>
        <v>0</v>
      </c>
      <c r="AB40" s="387">
        <f>ROUND(IF('Sales Forecast Year 2'!$B35="Yes",N40*'Tables and Calculations'!$C$10,0),0)</f>
        <v>0</v>
      </c>
      <c r="AC40" s="387">
        <v>0</v>
      </c>
    </row>
    <row r="41" spans="1:29" ht="15">
      <c r="A41" s="383">
        <f t="shared" si="6"/>
        <v>0</v>
      </c>
      <c r="B41" s="392"/>
      <c r="C41" s="388">
        <f>'Sales Forecast Year 2'!D36*'Sales Details'!$F18+'Sales Forecast Year 1'!O37*'Sales Details'!$G18+'Sales Forecast Year 1'!N37*'Sales Details'!$H18+'Sales Forecast Year 1'!M37*'Sales Details'!I18</f>
        <v>0</v>
      </c>
      <c r="D41" s="388">
        <f>'Sales Forecast Year 2'!E36*'Sales Details'!$F18+'Sales Forecast Year 2'!D36*'Sales Details'!$G18+'Sales Forecast Year 1'!O37*'Sales Details'!$H18+'Sales Forecast Year 1'!N37*'Sales Details'!$I18</f>
        <v>0</v>
      </c>
      <c r="E41" s="388">
        <f>'Sales Forecast Year 2'!F36*'Sales Details'!$F18+'Sales Forecast Year 2'!E36*'Sales Details'!$G18+'Sales Forecast Year 2'!D36*'Sales Details'!$H18+'Sales Forecast Year 1'!O37*'Sales Details'!$I18</f>
        <v>0</v>
      </c>
      <c r="F41" s="388">
        <f>'Sales Forecast Year 2'!G36*'Sales Details'!$F18+'Sales Forecast Year 2'!F36*'Sales Details'!$G18+'Sales Forecast Year 2'!E36*'Sales Details'!$H18+'Sales Forecast Year 2'!D36*'Sales Details'!$I18</f>
        <v>0</v>
      </c>
      <c r="G41" s="388">
        <f>'Sales Forecast Year 2'!H36*'Sales Details'!$F18+'Sales Forecast Year 2'!G36*'Sales Details'!$G18+'Sales Forecast Year 2'!F36*'Sales Details'!$H18+'Sales Forecast Year 2'!E36*'Sales Details'!$I18</f>
        <v>0</v>
      </c>
      <c r="H41" s="388">
        <f>'Sales Forecast Year 2'!I36*'Sales Details'!$F18+'Sales Forecast Year 2'!H36*'Sales Details'!$G18+'Sales Forecast Year 2'!G36*'Sales Details'!$H18+'Sales Forecast Year 2'!F36*'Sales Details'!$I18</f>
        <v>0</v>
      </c>
      <c r="I41" s="388">
        <f>'Sales Forecast Year 2'!J36*'Sales Details'!$F18+'Sales Forecast Year 2'!I36*'Sales Details'!$G18+'Sales Forecast Year 2'!H36*'Sales Details'!$H18+'Sales Forecast Year 2'!G36*'Sales Details'!$I18</f>
        <v>0</v>
      </c>
      <c r="J41" s="388">
        <f>'Sales Forecast Year 2'!K36*'Sales Details'!$F18+'Sales Forecast Year 2'!J36*'Sales Details'!$G18+'Sales Forecast Year 2'!I36*'Sales Details'!$H18+'Sales Forecast Year 2'!H36*'Sales Details'!$I18</f>
        <v>0</v>
      </c>
      <c r="K41" s="388">
        <f>'Sales Forecast Year 2'!L36*'Sales Details'!$F18+'Sales Forecast Year 2'!K36*'Sales Details'!$G18+'Sales Forecast Year 2'!J36*'Sales Details'!$H18+'Sales Forecast Year 2'!I36*'Sales Details'!$I18</f>
        <v>0</v>
      </c>
      <c r="L41" s="388">
        <f>'Sales Forecast Year 2'!M36*'Sales Details'!$F18+'Sales Forecast Year 2'!L36*'Sales Details'!$G18+'Sales Forecast Year 2'!K36*'Sales Details'!$H18+'Sales Forecast Year 2'!J36*'Sales Details'!$I18</f>
        <v>0</v>
      </c>
      <c r="M41" s="388">
        <f>'Sales Forecast Year 2'!N36*'Sales Details'!$F18+'Sales Forecast Year 2'!M36*'Sales Details'!$G18+'Sales Forecast Year 2'!L36*'Sales Details'!$H18+'Sales Forecast Year 2'!K36*'Sales Details'!$I18</f>
        <v>0</v>
      </c>
      <c r="N41" s="388">
        <f>'Sales Forecast Year 2'!O36*'Sales Details'!$F18+'Sales Forecast Year 2'!N36*'Sales Details'!$G18+'Sales Forecast Year 2'!M36*'Sales Details'!$H18+'Sales Forecast Year 2'!L36*'Sales Details'!$I18</f>
        <v>0</v>
      </c>
      <c r="O41" s="388">
        <f t="shared" si="7"/>
        <v>0</v>
      </c>
      <c r="Q41" s="387">
        <f>ROUND(IF('Sales Forecast Year 2'!$B36="Yes",C41*'Tables and Calculations'!$C$10,0),0)</f>
        <v>0</v>
      </c>
      <c r="R41" s="387">
        <f>ROUND(IF('Sales Forecast Year 2'!$B36="Yes",D41*'Tables and Calculations'!$C$10,0),0)</f>
        <v>0</v>
      </c>
      <c r="S41" s="387">
        <f>ROUND(IF('Sales Forecast Year 2'!$B36="Yes",E41*'Tables and Calculations'!$C$10,0),0)</f>
        <v>0</v>
      </c>
      <c r="T41" s="387">
        <f>ROUND(IF('Sales Forecast Year 2'!$B36="Yes",F41*'Tables and Calculations'!$C$10,0),0)</f>
        <v>0</v>
      </c>
      <c r="U41" s="387">
        <f>ROUND(IF('Sales Forecast Year 2'!$B36="Yes",G41*'Tables and Calculations'!$C$10,0),0)</f>
        <v>0</v>
      </c>
      <c r="V41" s="387">
        <f>ROUND(IF('Sales Forecast Year 2'!$B36="Yes",H41*'Tables and Calculations'!$C$10,0),0)</f>
        <v>0</v>
      </c>
      <c r="W41" s="387">
        <f>ROUND(IF('Sales Forecast Year 2'!$B36="Yes",I41*'Tables and Calculations'!$C$10,0),0)</f>
        <v>0</v>
      </c>
      <c r="X41" s="387">
        <f>ROUND(IF('Sales Forecast Year 2'!$B36="Yes",J41*'Tables and Calculations'!$C$10,0),0)</f>
        <v>0</v>
      </c>
      <c r="Y41" s="387">
        <f>ROUND(IF('Sales Forecast Year 2'!$B36="Yes",K41*'Tables and Calculations'!$C$10,0),0)</f>
        <v>0</v>
      </c>
      <c r="Z41" s="387">
        <f>ROUND(IF('Sales Forecast Year 2'!$B36="Yes",L41*'Tables and Calculations'!$C$10,0),0)</f>
        <v>0</v>
      </c>
      <c r="AA41" s="387">
        <f>ROUND(IF('Sales Forecast Year 2'!$B36="Yes",M41*'Tables and Calculations'!$C$10,0),0)</f>
        <v>0</v>
      </c>
      <c r="AB41" s="387">
        <f>ROUND(IF('Sales Forecast Year 2'!$B36="Yes",N41*'Tables and Calculations'!$C$10,0),0)</f>
        <v>0</v>
      </c>
      <c r="AC41" s="387">
        <v>0</v>
      </c>
    </row>
    <row r="42" spans="1:29" ht="15">
      <c r="A42" s="383">
        <f t="shared" si="6"/>
        <v>0</v>
      </c>
      <c r="B42" s="392"/>
      <c r="C42" s="388">
        <f>'Sales Forecast Year 2'!D37*'Sales Details'!$F19+'Sales Forecast Year 1'!O38*'Sales Details'!$G19+'Sales Forecast Year 1'!N38*'Sales Details'!$H19+'Sales Forecast Year 1'!M38*'Sales Details'!I19</f>
        <v>0</v>
      </c>
      <c r="D42" s="388">
        <f>'Sales Forecast Year 2'!E37*'Sales Details'!$F19+'Sales Forecast Year 2'!D37*'Sales Details'!$G19+'Sales Forecast Year 1'!O38*'Sales Details'!$H19+'Sales Forecast Year 1'!N38*'Sales Details'!$I19</f>
        <v>0</v>
      </c>
      <c r="E42" s="388">
        <f>'Sales Forecast Year 2'!F37*'Sales Details'!$F19+'Sales Forecast Year 2'!E37*'Sales Details'!$G19+'Sales Forecast Year 2'!D37*'Sales Details'!$H19+'Sales Forecast Year 1'!O38*'Sales Details'!$I19</f>
        <v>0</v>
      </c>
      <c r="F42" s="388">
        <f>'Sales Forecast Year 2'!G37*'Sales Details'!$F19+'Sales Forecast Year 2'!F37*'Sales Details'!$G19+'Sales Forecast Year 2'!E37*'Sales Details'!$H19+'Sales Forecast Year 2'!D37*'Sales Details'!$I19</f>
        <v>0</v>
      </c>
      <c r="G42" s="388">
        <f>'Sales Forecast Year 2'!H37*'Sales Details'!$F19+'Sales Forecast Year 2'!G37*'Sales Details'!$G19+'Sales Forecast Year 2'!F37*'Sales Details'!$H19+'Sales Forecast Year 2'!E37*'Sales Details'!$I19</f>
        <v>0</v>
      </c>
      <c r="H42" s="388">
        <f>'Sales Forecast Year 2'!I37*'Sales Details'!$F19+'Sales Forecast Year 2'!H37*'Sales Details'!$G19+'Sales Forecast Year 2'!G37*'Sales Details'!$H19+'Sales Forecast Year 2'!F37*'Sales Details'!$I19</f>
        <v>0</v>
      </c>
      <c r="I42" s="388">
        <f>'Sales Forecast Year 2'!J37*'Sales Details'!$F19+'Sales Forecast Year 2'!I37*'Sales Details'!$G19+'Sales Forecast Year 2'!H37*'Sales Details'!$H19+'Sales Forecast Year 2'!G37*'Sales Details'!$I19</f>
        <v>0</v>
      </c>
      <c r="J42" s="388">
        <f>'Sales Forecast Year 2'!K37*'Sales Details'!$F19+'Sales Forecast Year 2'!J37*'Sales Details'!$G19+'Sales Forecast Year 2'!I37*'Sales Details'!$H19+'Sales Forecast Year 2'!H37*'Sales Details'!$I19</f>
        <v>0</v>
      </c>
      <c r="K42" s="388">
        <f>'Sales Forecast Year 2'!L37*'Sales Details'!$F19+'Sales Forecast Year 2'!K37*'Sales Details'!$G19+'Sales Forecast Year 2'!J37*'Sales Details'!$H19+'Sales Forecast Year 2'!I37*'Sales Details'!$I19</f>
        <v>0</v>
      </c>
      <c r="L42" s="388">
        <f>'Sales Forecast Year 2'!M37*'Sales Details'!$F19+'Sales Forecast Year 2'!L37*'Sales Details'!$G19+'Sales Forecast Year 2'!K37*'Sales Details'!$H19+'Sales Forecast Year 2'!J37*'Sales Details'!$I19</f>
        <v>0</v>
      </c>
      <c r="M42" s="388">
        <f>'Sales Forecast Year 2'!N37*'Sales Details'!$F19+'Sales Forecast Year 2'!M37*'Sales Details'!$G19+'Sales Forecast Year 2'!L37*'Sales Details'!$H19+'Sales Forecast Year 2'!K37*'Sales Details'!$I19</f>
        <v>0</v>
      </c>
      <c r="N42" s="388">
        <f>'Sales Forecast Year 2'!O37*'Sales Details'!$F19+'Sales Forecast Year 2'!N37*'Sales Details'!$G19+'Sales Forecast Year 2'!M37*'Sales Details'!$H19+'Sales Forecast Year 2'!L37*'Sales Details'!$I19</f>
        <v>0</v>
      </c>
      <c r="O42" s="388">
        <f t="shared" si="7"/>
        <v>0</v>
      </c>
      <c r="Q42" s="387">
        <f>ROUND(IF('Sales Forecast Year 2'!$B37="Yes",C42*'Tables and Calculations'!$C$10,0),0)</f>
        <v>0</v>
      </c>
      <c r="R42" s="387">
        <f>ROUND(IF('Sales Forecast Year 2'!$B37="Yes",D42*'Tables and Calculations'!$C$10,0),0)</f>
        <v>0</v>
      </c>
      <c r="S42" s="387">
        <f>ROUND(IF('Sales Forecast Year 2'!$B37="Yes",E42*'Tables and Calculations'!$C$10,0),0)</f>
        <v>0</v>
      </c>
      <c r="T42" s="387">
        <f>ROUND(IF('Sales Forecast Year 2'!$B37="Yes",F42*'Tables and Calculations'!$C$10,0),0)</f>
        <v>0</v>
      </c>
      <c r="U42" s="387">
        <f>ROUND(IF('Sales Forecast Year 2'!$B37="Yes",G42*'Tables and Calculations'!$C$10,0),0)</f>
        <v>0</v>
      </c>
      <c r="V42" s="387">
        <f>ROUND(IF('Sales Forecast Year 2'!$B37="Yes",H42*'Tables and Calculations'!$C$10,0),0)</f>
        <v>0</v>
      </c>
      <c r="W42" s="387">
        <f>ROUND(IF('Sales Forecast Year 2'!$B37="Yes",I42*'Tables and Calculations'!$C$10,0),0)</f>
        <v>0</v>
      </c>
      <c r="X42" s="387">
        <f>ROUND(IF('Sales Forecast Year 2'!$B37="Yes",J42*'Tables and Calculations'!$C$10,0),0)</f>
        <v>0</v>
      </c>
      <c r="Y42" s="387">
        <f>ROUND(IF('Sales Forecast Year 2'!$B37="Yes",K42*'Tables and Calculations'!$C$10,0),0)</f>
        <v>0</v>
      </c>
      <c r="Z42" s="387">
        <f>ROUND(IF('Sales Forecast Year 2'!$B37="Yes",L42*'Tables and Calculations'!$C$10,0),0)</f>
        <v>0</v>
      </c>
      <c r="AA42" s="387">
        <f>ROUND(IF('Sales Forecast Year 2'!$B37="Yes",M42*'Tables and Calculations'!$C$10,0),0)</f>
        <v>0</v>
      </c>
      <c r="AB42" s="387">
        <f>ROUND(IF('Sales Forecast Year 2'!$B37="Yes",N42*'Tables and Calculations'!$C$10,0),0)</f>
        <v>0</v>
      </c>
      <c r="AC42" s="387">
        <v>0</v>
      </c>
    </row>
    <row r="43" spans="1:29" ht="15.75" thickBot="1">
      <c r="A43" s="383">
        <f t="shared" si="6"/>
        <v>0</v>
      </c>
      <c r="B43" s="392"/>
      <c r="C43" s="388">
        <f>'Sales Forecast Year 2'!D38*'Sales Details'!$F20+'Sales Forecast Year 1'!O39*'Sales Details'!$G20+'Sales Forecast Year 1'!N39*'Sales Details'!$H20+'Sales Forecast Year 1'!M39*'Sales Details'!I20</f>
        <v>0</v>
      </c>
      <c r="D43" s="388">
        <f>'Sales Forecast Year 2'!E38*'Sales Details'!$F20+'Sales Forecast Year 2'!D38*'Sales Details'!$G20+'Sales Forecast Year 1'!O39*'Sales Details'!$H20+'Sales Forecast Year 1'!N39*'Sales Details'!$I20</f>
        <v>0</v>
      </c>
      <c r="E43" s="388">
        <f>'Sales Forecast Year 2'!F38*'Sales Details'!$F20+'Sales Forecast Year 2'!E38*'Sales Details'!$G20+'Sales Forecast Year 2'!D38*'Sales Details'!$H20+'Sales Forecast Year 1'!O39*'Sales Details'!$I20</f>
        <v>0</v>
      </c>
      <c r="F43" s="388">
        <f>'Sales Forecast Year 2'!G38*'Sales Details'!$F20+'Sales Forecast Year 2'!F38*'Sales Details'!$G20+'Sales Forecast Year 2'!E38*'Sales Details'!$H20+'Sales Forecast Year 2'!D38*'Sales Details'!$I20</f>
        <v>0</v>
      </c>
      <c r="G43" s="388">
        <f>'Sales Forecast Year 2'!H38*'Sales Details'!$F20+'Sales Forecast Year 2'!G38*'Sales Details'!$G20+'Sales Forecast Year 2'!F38*'Sales Details'!$H20+'Sales Forecast Year 2'!E38*'Sales Details'!$I20</f>
        <v>0</v>
      </c>
      <c r="H43" s="388">
        <f>'Sales Forecast Year 2'!I38*'Sales Details'!$F20+'Sales Forecast Year 2'!H38*'Sales Details'!$G20+'Sales Forecast Year 2'!G38*'Sales Details'!$H20+'Sales Forecast Year 2'!F38*'Sales Details'!$I20</f>
        <v>0</v>
      </c>
      <c r="I43" s="388">
        <f>'Sales Forecast Year 2'!J38*'Sales Details'!$F20+'Sales Forecast Year 2'!I38*'Sales Details'!$G20+'Sales Forecast Year 2'!H38*'Sales Details'!$H20+'Sales Forecast Year 2'!G38*'Sales Details'!$I20</f>
        <v>0</v>
      </c>
      <c r="J43" s="388">
        <f>'Sales Forecast Year 2'!K38*'Sales Details'!$F20+'Sales Forecast Year 2'!J38*'Sales Details'!$G20+'Sales Forecast Year 2'!I38*'Sales Details'!$H20+'Sales Forecast Year 2'!H38*'Sales Details'!$I20</f>
        <v>0</v>
      </c>
      <c r="K43" s="388">
        <f>'Sales Forecast Year 2'!L38*'Sales Details'!$F20+'Sales Forecast Year 2'!K38*'Sales Details'!$G20+'Sales Forecast Year 2'!J38*'Sales Details'!$H20+'Sales Forecast Year 2'!I38*'Sales Details'!$I20</f>
        <v>0</v>
      </c>
      <c r="L43" s="388">
        <f>'Sales Forecast Year 2'!M38*'Sales Details'!$F20+'Sales Forecast Year 2'!L38*'Sales Details'!$G20+'Sales Forecast Year 2'!K38*'Sales Details'!$H20+'Sales Forecast Year 2'!J38*'Sales Details'!$I20</f>
        <v>0</v>
      </c>
      <c r="M43" s="388">
        <f>'Sales Forecast Year 2'!N38*'Sales Details'!$F20+'Sales Forecast Year 2'!M38*'Sales Details'!$G20+'Sales Forecast Year 2'!L38*'Sales Details'!$H20+'Sales Forecast Year 2'!K38*'Sales Details'!$I20</f>
        <v>0</v>
      </c>
      <c r="N43" s="388">
        <f>'Sales Forecast Year 2'!O38*'Sales Details'!$F20+'Sales Forecast Year 2'!N38*'Sales Details'!$G20+'Sales Forecast Year 2'!M38*'Sales Details'!$H20+'Sales Forecast Year 2'!L38*'Sales Details'!$I20</f>
        <v>0</v>
      </c>
      <c r="O43" s="388">
        <f t="shared" si="7"/>
        <v>0</v>
      </c>
      <c r="Q43" s="387">
        <f>ROUND(IF('Sales Forecast Year 2'!$B38="Yes",C43*'Tables and Calculations'!$C$10,0),0)</f>
        <v>0</v>
      </c>
      <c r="R43" s="387">
        <f>ROUND(IF('Sales Forecast Year 2'!$B38="Yes",D43*'Tables and Calculations'!$C$10,0),0)</f>
        <v>0</v>
      </c>
      <c r="S43" s="387">
        <f>ROUND(IF('Sales Forecast Year 2'!$B38="Yes",E43*'Tables and Calculations'!$C$10,0),0)</f>
        <v>0</v>
      </c>
      <c r="T43" s="387">
        <f>ROUND(IF('Sales Forecast Year 2'!$B38="Yes",F43*'Tables and Calculations'!$C$10,0),0)</f>
        <v>0</v>
      </c>
      <c r="U43" s="387">
        <f>ROUND(IF('Sales Forecast Year 2'!$B38="Yes",G43*'Tables and Calculations'!$C$10,0),0)</f>
        <v>0</v>
      </c>
      <c r="V43" s="387">
        <f>ROUND(IF('Sales Forecast Year 2'!$B38="Yes",H43*'Tables and Calculations'!$C$10,0),0)</f>
        <v>0</v>
      </c>
      <c r="W43" s="387">
        <f>ROUND(IF('Sales Forecast Year 2'!$B38="Yes",I43*'Tables and Calculations'!$C$10,0),0)</f>
        <v>0</v>
      </c>
      <c r="X43" s="387">
        <f>ROUND(IF('Sales Forecast Year 2'!$B38="Yes",J43*'Tables and Calculations'!$C$10,0),0)</f>
        <v>0</v>
      </c>
      <c r="Y43" s="387">
        <f>ROUND(IF('Sales Forecast Year 2'!$B38="Yes",K43*'Tables and Calculations'!$C$10,0),0)</f>
        <v>0</v>
      </c>
      <c r="Z43" s="387">
        <f>ROUND(IF('Sales Forecast Year 2'!$B38="Yes",L43*'Tables and Calculations'!$C$10,0),0)</f>
        <v>0</v>
      </c>
      <c r="AA43" s="387">
        <f>ROUND(IF('Sales Forecast Year 2'!$B38="Yes",M43*'Tables and Calculations'!$C$10,0),0)</f>
        <v>0</v>
      </c>
      <c r="AB43" s="387">
        <f>ROUND(IF('Sales Forecast Year 2'!$B38="Yes",N43*'Tables and Calculations'!$C$10,0),0)</f>
        <v>0</v>
      </c>
      <c r="AC43" s="387">
        <v>0</v>
      </c>
    </row>
    <row r="44" spans="1:29" ht="15.75" thickBot="1">
      <c r="A44" s="375"/>
      <c r="B44" s="375"/>
      <c r="C44" s="393" t="e">
        <f>ROUND(SUM(C29:C43),0)</f>
        <v>#VALUE!</v>
      </c>
      <c r="D44" s="393" t="e">
        <f t="shared" ref="D44:O44" si="9">ROUND(SUM(D29:D43),0)</f>
        <v>#VALUE!</v>
      </c>
      <c r="E44" s="393" t="e">
        <f t="shared" si="9"/>
        <v>#VALUE!</v>
      </c>
      <c r="F44" s="393" t="e">
        <f t="shared" si="9"/>
        <v>#VALUE!</v>
      </c>
      <c r="G44" s="393" t="e">
        <f t="shared" si="9"/>
        <v>#VALUE!</v>
      </c>
      <c r="H44" s="393" t="e">
        <f t="shared" si="9"/>
        <v>#VALUE!</v>
      </c>
      <c r="I44" s="393" t="e">
        <f t="shared" si="9"/>
        <v>#VALUE!</v>
      </c>
      <c r="J44" s="393" t="e">
        <f t="shared" si="9"/>
        <v>#VALUE!</v>
      </c>
      <c r="K44" s="393" t="e">
        <f t="shared" si="9"/>
        <v>#VALUE!</v>
      </c>
      <c r="L44" s="393" t="e">
        <f t="shared" si="9"/>
        <v>#VALUE!</v>
      </c>
      <c r="M44" s="393" t="e">
        <f t="shared" si="9"/>
        <v>#VALUE!</v>
      </c>
      <c r="N44" s="393" t="e">
        <f t="shared" si="9"/>
        <v>#VALUE!</v>
      </c>
      <c r="O44" s="390" t="e">
        <f t="shared" si="9"/>
        <v>#VALUE!</v>
      </c>
      <c r="Q44" s="390">
        <f t="shared" ref="Q44:AC44" si="10">ROUND(SUM(Q29:Q43),0)</f>
        <v>0</v>
      </c>
      <c r="R44" s="390">
        <f t="shared" si="10"/>
        <v>0</v>
      </c>
      <c r="S44" s="390">
        <f t="shared" si="10"/>
        <v>0</v>
      </c>
      <c r="T44" s="390">
        <f t="shared" si="10"/>
        <v>0</v>
      </c>
      <c r="U44" s="390">
        <f t="shared" si="10"/>
        <v>0</v>
      </c>
      <c r="V44" s="390">
        <f t="shared" si="10"/>
        <v>0</v>
      </c>
      <c r="W44" s="390">
        <f t="shared" si="10"/>
        <v>0</v>
      </c>
      <c r="X44" s="390">
        <f t="shared" si="10"/>
        <v>0</v>
      </c>
      <c r="Y44" s="390">
        <f t="shared" si="10"/>
        <v>0</v>
      </c>
      <c r="Z44" s="390">
        <f t="shared" si="10"/>
        <v>0</v>
      </c>
      <c r="AA44" s="390">
        <f t="shared" si="10"/>
        <v>0</v>
      </c>
      <c r="AB44" s="390">
        <f t="shared" si="10"/>
        <v>0</v>
      </c>
      <c r="AC44" s="390">
        <f t="shared" si="10"/>
        <v>0</v>
      </c>
    </row>
    <row r="47" spans="1:29" ht="12.75" customHeight="1">
      <c r="A47" s="768" t="s">
        <v>447</v>
      </c>
      <c r="B47" s="768"/>
      <c r="C47" s="768"/>
      <c r="D47" s="768"/>
      <c r="E47" s="768"/>
      <c r="F47" s="768"/>
      <c r="G47" s="768"/>
      <c r="H47" s="768"/>
      <c r="I47" s="768"/>
      <c r="J47" s="768"/>
      <c r="K47" s="768"/>
      <c r="L47" s="768"/>
      <c r="M47" s="768"/>
      <c r="N47" s="768"/>
      <c r="O47" s="768"/>
    </row>
    <row r="48" spans="1:29" ht="63.75" customHeight="1" thickBot="1">
      <c r="A48" s="768"/>
      <c r="B48" s="768"/>
      <c r="C48" s="768"/>
      <c r="D48" s="768"/>
      <c r="E48" s="768"/>
      <c r="F48" s="768"/>
      <c r="G48" s="768"/>
      <c r="H48" s="768"/>
      <c r="I48" s="768"/>
      <c r="J48" s="768"/>
      <c r="K48" s="768"/>
      <c r="L48" s="768"/>
      <c r="M48" s="768"/>
      <c r="N48" s="768"/>
      <c r="O48" s="768"/>
    </row>
    <row r="49" spans="1:2" ht="40.5" customHeight="1" thickBot="1">
      <c r="A49" s="394"/>
      <c r="B49" s="395"/>
    </row>
  </sheetData>
  <mergeCells count="4">
    <mergeCell ref="A1:O1"/>
    <mergeCell ref="A3:O3"/>
    <mergeCell ref="A25:O25"/>
    <mergeCell ref="A47:O48"/>
  </mergeCells>
  <pageMargins left="0.75" right="0.75" top="0.53" bottom="0.52" header="0.32" footer="0.24"/>
  <pageSetup paperSize="9" scale="78" orientation="landscape"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B40981-7684-4268-8FBE-7EBA326812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67</vt:i4>
      </vt:variant>
    </vt:vector>
  </HeadingPairs>
  <TitlesOfParts>
    <vt:vector size="94" baseType="lpstr">
      <vt:lpstr>How this Spreadsheet Works</vt:lpstr>
      <vt:lpstr>Instructions</vt:lpstr>
      <vt:lpstr>Set Up Details</vt:lpstr>
      <vt:lpstr>Quarterly Results</vt:lpstr>
      <vt:lpstr>Personal Cash Flow Budget Y1</vt:lpstr>
      <vt:lpstr>Assets and Depreciation</vt:lpstr>
      <vt:lpstr>Business Loans</vt:lpstr>
      <vt:lpstr>Marketing Action Plan Year 1</vt:lpstr>
      <vt:lpstr>Marketing Action Plan Year 2</vt:lpstr>
      <vt:lpstr>Marketing Action Plan Year 3</vt:lpstr>
      <vt:lpstr>Sales Details</vt:lpstr>
      <vt:lpstr>Sales Forecast Year 1</vt:lpstr>
      <vt:lpstr>Sales Forecast Year 2</vt:lpstr>
      <vt:lpstr>Sales Forecast Year 3</vt:lpstr>
      <vt:lpstr>Cash Flow Year 1</vt:lpstr>
      <vt:lpstr>Cash Flow Year 2</vt:lpstr>
      <vt:lpstr>Cash Flow Year 3</vt:lpstr>
      <vt:lpstr>Profit &amp; Loss Statements</vt:lpstr>
      <vt:lpstr>Balance Sheets</vt:lpstr>
      <vt:lpstr>Key Assumptions Year 1 </vt:lpstr>
      <vt:lpstr>Key Assumptions Year 2</vt:lpstr>
      <vt:lpstr>Key Assumptions Year 3</vt:lpstr>
      <vt:lpstr> Breakeven Analysis - Service</vt:lpstr>
      <vt:lpstr>Breakeven Analysis - Product</vt:lpstr>
      <vt:lpstr>Tables and Calculations</vt:lpstr>
      <vt:lpstr>Table2</vt:lpstr>
      <vt:lpstr>Debtors analysis</vt:lpstr>
      <vt:lpstr>'Debtors analysis'!cpi</vt:lpstr>
      <vt:lpstr>'Profit &amp; Loss Statements'!cpi</vt:lpstr>
      <vt:lpstr>Table2!cpi</vt:lpstr>
      <vt:lpstr>cpi</vt:lpstr>
      <vt:lpstr>'Cash Flow Year 1'!GST_payable_to_ATO</vt:lpstr>
      <vt:lpstr>'Cash Flow Year 2'!GST_payable_to_ATO</vt:lpstr>
      <vt:lpstr>'Cash Flow Year 3'!GST_payable_to_ATO</vt:lpstr>
      <vt:lpstr>GST_payable_to_ATO</vt:lpstr>
      <vt:lpstr>'Cash Flow Year 1'!Link_CashFlowYr1_R22_SalesRelatedExpenses</vt:lpstr>
      <vt:lpstr>'Cash Flow Year 2'!Link_CashFlowYr1_R22_SalesRelatedExpenses</vt:lpstr>
      <vt:lpstr>'Cash Flow Year 3'!Link_CashFlowYr1_R22_SalesRelatedExpenses</vt:lpstr>
      <vt:lpstr>Link_CashFlowYr1_R22_SalesRelatedExpenses</vt:lpstr>
      <vt:lpstr>'Cash Flow Year 1'!Link_CashFlowYr1_R27_OverheadExpenses</vt:lpstr>
      <vt:lpstr>'Cash Flow Year 2'!Link_CashFlowYr1_R27_OverheadExpenses</vt:lpstr>
      <vt:lpstr>'Cash Flow Year 3'!Link_CashFlowYr1_R27_OverheadExpenses</vt:lpstr>
      <vt:lpstr>Link_CashFlowYr1_R27_OverheadExpenses</vt:lpstr>
      <vt:lpstr>'Cash Flow Year 1'!Link_CashFlowYr1_R60_LoanRepayments</vt:lpstr>
      <vt:lpstr>'Cash Flow Year 2'!Link_CashFlowYr1_R60_LoanRepayments</vt:lpstr>
      <vt:lpstr>'Cash Flow Year 3'!Link_CashFlowYr1_R60_LoanRepayments</vt:lpstr>
      <vt:lpstr>Link_CashFlowYr1_R60_LoanRepayments</vt:lpstr>
      <vt:lpstr>'Cash Flow Year 1'!Link_CashFlowYr1_R61_AssetPurchases</vt:lpstr>
      <vt:lpstr>'Cash Flow Year 2'!Link_CashFlowYr1_R61_AssetPurchases</vt:lpstr>
      <vt:lpstr>'Cash Flow Year 3'!Link_CashFlowYr1_R61_AssetPurchases</vt:lpstr>
      <vt:lpstr>Link_CashFlowYr1_R61_AssetPurchases</vt:lpstr>
      <vt:lpstr>'Cash Flow Year 1'!Link_CashFlowYr1_R64_Drawings</vt:lpstr>
      <vt:lpstr>'Cash Flow Year 2'!Link_CashFlowYr1_R64_Drawings</vt:lpstr>
      <vt:lpstr>'Cash Flow Year 3'!Link_CashFlowYr1_R64_Drawings</vt:lpstr>
      <vt:lpstr>Link_CashFlowYr1_R64_Drawings</vt:lpstr>
      <vt:lpstr>'Cash Flow Year 1'!Link_CashFlowYr1_R66_GST</vt:lpstr>
      <vt:lpstr>'Cash Flow Year 2'!Link_CashFlowYr1_R66_GST</vt:lpstr>
      <vt:lpstr>'Cash Flow Year 3'!Link_CashFlowYr1_R66_GST</vt:lpstr>
      <vt:lpstr>Link_CashFlowYr1_R66_GST</vt:lpstr>
      <vt:lpstr>'Cash Flow Year 1'!Link_CashFlowYr1_R67_PAYGwithholding</vt:lpstr>
      <vt:lpstr>'Cash Flow Year 2'!Link_CashFlowYr1_R67_PAYGwithholding</vt:lpstr>
      <vt:lpstr>'Cash Flow Year 3'!Link_CashFlowYr1_R67_PAYGwithholding</vt:lpstr>
      <vt:lpstr>Link_CashFlowYr1_R67_PAYGwithholding</vt:lpstr>
      <vt:lpstr>'Cash Flow Year 2'!LoanMonthNumber</vt:lpstr>
      <vt:lpstr>'Cash Flow Year 3'!LoanMonthNumber</vt:lpstr>
      <vt:lpstr>LoanMonthNumber</vt:lpstr>
      <vt:lpstr>MinProfitNEIS</vt:lpstr>
      <vt:lpstr>npbty2</vt:lpstr>
      <vt:lpstr>' Breakeven Analysis - Service'!Print_Area</vt:lpstr>
      <vt:lpstr>'Balance Sheets'!Print_Area</vt:lpstr>
      <vt:lpstr>'Breakeven Analysis - Product'!Print_Area</vt:lpstr>
      <vt:lpstr>'Business Loans'!Print_Area</vt:lpstr>
      <vt:lpstr>'Cash Flow Year 1'!Print_Area</vt:lpstr>
      <vt:lpstr>'Cash Flow Year 2'!Print_Area</vt:lpstr>
      <vt:lpstr>'Cash Flow Year 3'!Print_Area</vt:lpstr>
      <vt:lpstr>'Debtors analysis'!Print_Area</vt:lpstr>
      <vt:lpstr>Instructions!Print_Area</vt:lpstr>
      <vt:lpstr>'Key Assumptions Year 1 '!Print_Area</vt:lpstr>
      <vt:lpstr>'Key Assumptions Year 2'!Print_Area</vt:lpstr>
      <vt:lpstr>'Key Assumptions Year 3'!Print_Area</vt:lpstr>
      <vt:lpstr>'Personal Cash Flow Budget Y1'!Print_Area</vt:lpstr>
      <vt:lpstr>'Profit &amp; Loss Statements'!Print_Area</vt:lpstr>
      <vt:lpstr>'Quarterly Results'!Print_Area</vt:lpstr>
      <vt:lpstr>'Sales Details'!Print_Area</vt:lpstr>
      <vt:lpstr>'Sales Forecast Year 1'!Print_Area</vt:lpstr>
      <vt:lpstr>'Sales Forecast Year 2'!Print_Area</vt:lpstr>
      <vt:lpstr>'Sales Forecast Year 3'!Print_Area</vt:lpstr>
      <vt:lpstr>'Set Up Details'!Print_Area</vt:lpstr>
      <vt:lpstr>'Tables and Calculations'!Print_Area</vt:lpstr>
      <vt:lpstr>'Debtors analysis'!Print_Titles</vt:lpstr>
      <vt:lpstr>'Sales Forecast Year 1'!Print_Titles</vt:lpstr>
      <vt:lpstr>'Sales Forecast Year 2'!Print_Titles</vt:lpstr>
      <vt:lpstr>'Sales Forecast Year 3'!Print_Titles</vt:lpstr>
      <vt:lpstr>TaxFreeThreshold</vt:lpstr>
    </vt:vector>
  </TitlesOfParts>
  <Manager>Debra Wylde</Manager>
  <Company>Debra Wylde Advisory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Planning Template</dc:title>
  <dc:subject>Business Financial Projections</dc:subject>
  <dc:creator>Debra Wylde</dc:creator>
  <dc:description>Custom financial planning workbook for client use</dc:description>
  <cp:lastModifiedBy>Ebad Salehi</cp:lastModifiedBy>
  <dcterms:created xsi:type="dcterms:W3CDTF">2026-04-16T02:59:49Z</dcterms:created>
  <dcterms:modified xsi:type="dcterms:W3CDTF">2026-04-18T04:49:19Z</dcterms:modified>
  <cp:category>Business, Financial Planning</cp:category>
</cp:coreProperties>
</file>